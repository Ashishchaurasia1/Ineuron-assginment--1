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omments1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otork-my.sharepoint.com/personal/ashish_chaurasia_rotork_com/Documents/Desktop/Customer/BIC-CN0489/2023/PO-AUg23/"/>
    </mc:Choice>
  </mc:AlternateContent>
  <xr:revisionPtr revIDLastSave="58" documentId="13_ncr:1_{7253E400-799E-4DB1-9E72-0C8A1C0E321A}" xr6:coauthVersionLast="47" xr6:coauthVersionMax="47" xr10:uidLastSave="{4DB99BF1-0AC4-448D-9529-4730B479CDB6}"/>
  <bookViews>
    <workbookView xWindow="-120" yWindow="-120" windowWidth="20730" windowHeight="11160" xr2:uid="{680CF533-55F1-41A9-A822-B7D077D4C06A}"/>
  </bookViews>
  <sheets>
    <sheet name="Controls OHD" sheetId="1" r:id="rId1"/>
    <sheet name="IQ2" sheetId="8" state="hidden" r:id="rId2"/>
  </sheets>
  <definedNames>
    <definedName name="CHINA">Table11[CHINA]</definedName>
    <definedName name="CK">Table265[CK]</definedName>
    <definedName name="CK.120">Table209[CK.120]</definedName>
    <definedName name="CK.250">Table210[CK.250]</definedName>
    <definedName name="CK.30">Table207[CK.30]</definedName>
    <definedName name="CK.500">Table211[CK.500]</definedName>
    <definedName name="CK.60">Table208[CK.60]</definedName>
    <definedName name="CKQ">Table243[M7]</definedName>
    <definedName name="CKQ.1000">Table220[CKQ.1000]</definedName>
    <definedName name="CKQ.135">Table217[CKQ.135]</definedName>
    <definedName name="CKQ.400">Table218[CKQ.400]</definedName>
    <definedName name="CKQ.610">Table219[CKQ.610]</definedName>
    <definedName name="CKR.120">Table214[CKR.120]</definedName>
    <definedName name="CKR.250">Table215[CKR.250]</definedName>
    <definedName name="CKR.30">Table212[CKR.30]</definedName>
    <definedName name="CKR.500">Table216[CKR.500]</definedName>
    <definedName name="CKR.60">Table213[CKR.60]</definedName>
    <definedName name="CMA">Table270[CMA]</definedName>
    <definedName name="CML.100">Table136[CML.100]</definedName>
    <definedName name="CML.1500">Table139[CML.1500]</definedName>
    <definedName name="CML.250">Table137[CML.250]</definedName>
    <definedName name="CML.3000">Table140[CML.3000]</definedName>
    <definedName name="CML.750">Table138[CML.750]</definedName>
    <definedName name="CMQ.1000">Table143[CMQ.1000]</definedName>
    <definedName name="CMQ.250">Table141[CMQ.250]</definedName>
    <definedName name="CMQ.500">Table142[CMQ.500]</definedName>
    <definedName name="CMR.100">Table146[CMR.100]</definedName>
    <definedName name="CMR.125">Table147[CMR.125]</definedName>
    <definedName name="CMR.200">Table148[CMR.200]</definedName>
    <definedName name="CMR.250">Table149[CMR.250]</definedName>
    <definedName name="CMR.50">Table144[CMR.50]</definedName>
    <definedName name="CMR.89">Table145[CMR.89]</definedName>
    <definedName name="CVA">Table31[CVA]</definedName>
    <definedName name="CVL.1000">Table131[CVL.1000]</definedName>
    <definedName name="CVL.1500">Table132[CVL.1500]</definedName>
    <definedName name="CVL.500">Table130[CVL.500]</definedName>
    <definedName name="CVL.5000">Table133[CVL.5000]</definedName>
    <definedName name="CVQ.1200">Table134[CVQ.1200]</definedName>
    <definedName name="CVQ.2400">Table135[CVQ.2400]</definedName>
    <definedName name="EL" localSheetId="0">'Controls OHD'!$GX$1:$GX$2</definedName>
    <definedName name="gb_1" localSheetId="0">Table9[GB model]</definedName>
    <definedName name="GERMANY">Table1722[GERMANY]</definedName>
    <definedName name="H_W" localSheetId="0">Table2[H/W Orientation]</definedName>
    <definedName name="INDIA">PRODUCT[INDIA]</definedName>
    <definedName name="IQ.10">Table42[IQ.10]</definedName>
    <definedName name="IQ.12">Table47[IQ.12]</definedName>
    <definedName name="IQ.18">Table48[IQ.18]</definedName>
    <definedName name="IQ.2">Table30[M1]</definedName>
    <definedName name="IQ.20">Table50[IQ.20]</definedName>
    <definedName name="IQ.25">Table51[IQ.25]</definedName>
    <definedName name="IQ.3">Table170[M2]</definedName>
    <definedName name="IQ.35">Table52[IQ.35]</definedName>
    <definedName name="IQ.40">Table53[IQ.40]</definedName>
    <definedName name="IQ.70">Table54[IQ.70]</definedName>
    <definedName name="IQ.90">Table55[IQ.90]</definedName>
    <definedName name="IQ.91">Table56[IQ.91]</definedName>
    <definedName name="IQ.95">Table57[IQ.95]</definedName>
    <definedName name="IQ_10">Table175[IQ_10]</definedName>
    <definedName name="IQ_12">Table176[IQ_12]</definedName>
    <definedName name="IQ_18">Table177[IQ_18]</definedName>
    <definedName name="IQ_19">Table178[IQ_19]</definedName>
    <definedName name="IQ_20">Table179[IQ_20]</definedName>
    <definedName name="IQ_25">Table180[IQ_25]</definedName>
    <definedName name="IQ_35">Table181[IQ_35]</definedName>
    <definedName name="IQ_40">Table182[IQ_40]</definedName>
    <definedName name="IQ_70">Table183[IQ_70]</definedName>
    <definedName name="IQ_90">Table184[IQ_90]</definedName>
    <definedName name="IQ_91">Table185[IQ_91]</definedName>
    <definedName name="IQ_95">Table186[IQ_95]</definedName>
    <definedName name="IQD.10">Table111[IQD.10]</definedName>
    <definedName name="IQD.12">Table112[IQD.12]</definedName>
    <definedName name="IQD.18">Table113[IQD.18]</definedName>
    <definedName name="IQD.20">Table115[IQD.20]</definedName>
    <definedName name="IQD.25">Table114[IQD.25]</definedName>
    <definedName name="IQD_10">Table199[IQD_10]</definedName>
    <definedName name="IQD_12">Table200[IQD_12]</definedName>
    <definedName name="IQD_18">Table201[IQD_18]</definedName>
    <definedName name="IQD_20">Table202[IQD_20]</definedName>
    <definedName name="IQD_25">Table203[IQD_25]</definedName>
    <definedName name="IQL.10">Table116[IQL.10]</definedName>
    <definedName name="IQL.12">Table117[IQL.12]</definedName>
    <definedName name="IQL.20">Table118[IQL.20]</definedName>
    <definedName name="IQL.25">Table119[IQL.25]</definedName>
    <definedName name="IQL_10">Table204[IQL_10]</definedName>
    <definedName name="IQL_12">Table205[IQL_12]</definedName>
    <definedName name="IQL_20">Table206[IQL_20]</definedName>
    <definedName name="IQM.10">Table58[IQM.10]</definedName>
    <definedName name="IQM.12">Table49[IQM.12]</definedName>
    <definedName name="IQM.20">Table61[IQM.20]</definedName>
    <definedName name="IQM.25">Table69[IQM.25]</definedName>
    <definedName name="IQM.35">Table103[IQM.35]</definedName>
    <definedName name="IQM_10">Table187[IQM_10]</definedName>
    <definedName name="IQM_12">Table188[IQM_12]</definedName>
    <definedName name="IQM_20">Table189[IQM_20]</definedName>
    <definedName name="IQM_25">Table190[IQM_25]</definedName>
    <definedName name="IQM_35">Table191[IQM_35]</definedName>
    <definedName name="IQML.10">Table104[IQML.10]</definedName>
    <definedName name="IQML.12">Table105[IQML.12]</definedName>
    <definedName name="IQML.20">Table106[IQML.20]</definedName>
    <definedName name="IQML.25">Table107[IQML.25]</definedName>
    <definedName name="IQML_10">Table192[IQML_10]</definedName>
    <definedName name="IQML_12">Table193[IQML_12]</definedName>
    <definedName name="IQML_20">Table194[IQML_20]</definedName>
    <definedName name="IQML_25">Table195[IQML_25]</definedName>
    <definedName name="IQS.12">Table108[IQS.12]</definedName>
    <definedName name="IQS.20">Table109[IQS.20]</definedName>
    <definedName name="IQS.35">Table110[IQS.35]</definedName>
    <definedName name="IQS_12">Table196[IQS_12]</definedName>
    <definedName name="IQS_20">Table197[IQS_20]</definedName>
    <definedName name="IQS_35">Table198[IQS_35]</definedName>
    <definedName name="IQT">Table240[M4]</definedName>
    <definedName name="IQT.1000">Table123[IQT.1000]</definedName>
    <definedName name="IQT.125">Table120[IQT.125]</definedName>
    <definedName name="IQT.2000">Table124[IQT.2000]</definedName>
    <definedName name="IQT.250">Table121[IQT.250]</definedName>
    <definedName name="IQT.3">Table239[M3]</definedName>
    <definedName name="IQT.500">Table122[IQT.500]</definedName>
    <definedName name="IQT_1000">Table248[IQT_1000]</definedName>
    <definedName name="IQT_125">Table245[IQT_125]</definedName>
    <definedName name="IQT_2000">Table249[IQT_2000]</definedName>
    <definedName name="IQT_250">Table246[IQT_250]</definedName>
    <definedName name="IQT_3000">Table250[IQT_3000]</definedName>
    <definedName name="IQT_500">Table247[IQT_500]</definedName>
    <definedName name="IQTF_100">Table258[IQTF_100]</definedName>
    <definedName name="IQTF_1000">Table262[IQTF_1000]</definedName>
    <definedName name="IQTF_125">Table259[IQTF_125]</definedName>
    <definedName name="IQTF_2000">Table263[IQTF_2000]</definedName>
    <definedName name="IQTF_250">Table260[IQTF_250]</definedName>
    <definedName name="IQTF_3000">Table264[IQTF_3000]</definedName>
    <definedName name="IQTF_50">Table257[IQTF_50]</definedName>
    <definedName name="IQTF_500">Table261[IQTF_500]</definedName>
    <definedName name="IQTM.1000">Table128[IQTM.1000]</definedName>
    <definedName name="IQTM.125">Table125[IQTM.125]</definedName>
    <definedName name="IQTM.2000">Table129[IQTM.2000]</definedName>
    <definedName name="IQTM.250">Table126[IQTM.250]</definedName>
    <definedName name="IQTM.500">Table127[IQTM.500]</definedName>
    <definedName name="IQTM_1000">Table254[IQTM_1000]</definedName>
    <definedName name="IQTM_125">Table251[IQTM_125]</definedName>
    <definedName name="IQTM_2000">Table255[IQTM_2000]</definedName>
    <definedName name="IQTM_250">Table252[IQTM_250]</definedName>
    <definedName name="IQTM_3000">Table256[IQTM_3000]</definedName>
    <definedName name="IQTM_500">Table253[IQTM_500]</definedName>
    <definedName name="K">Table241[M5]</definedName>
    <definedName name="K.1000">Table157[K.1000]</definedName>
    <definedName name="K.150">Table152[K.150]</definedName>
    <definedName name="K.30">Table150[K.30]</definedName>
    <definedName name="K.300">Table153[K.300]</definedName>
    <definedName name="K.500">Table154[K.500]</definedName>
    <definedName name="K.60">Table151[K.60]</definedName>
    <definedName name="K.600">Table155[K.600]</definedName>
    <definedName name="K.800">Table156[K.800]</definedName>
    <definedName name="KL.150">Table168[KL.150]</definedName>
    <definedName name="KL.30">Table166[KL.30]</definedName>
    <definedName name="KL.300">Table169[KL.300]</definedName>
    <definedName name="KL.60">Table167[KL.60]</definedName>
    <definedName name="KM.150">Table160[KM.150]</definedName>
    <definedName name="KM.30">Table158[KM.30]</definedName>
    <definedName name="KM.300">Table161[KM.300]</definedName>
    <definedName name="KM.60">Table159[KM.60]</definedName>
    <definedName name="KML.150">Table164[KML.150]</definedName>
    <definedName name="KML.30">Table162[KML.30]</definedName>
    <definedName name="KML.300">Table165[KML.300]</definedName>
    <definedName name="KML.60">Table163[KML.60]</definedName>
    <definedName name="LA">Table238[LA]</definedName>
    <definedName name="LA.">Table269[LA]</definedName>
    <definedName name="m_1" localSheetId="0">'Controls OHD'!$HE$3:$HE$34</definedName>
    <definedName name="m_2" localSheetId="0">'Controls OHD'!$HF$3:$HF$34</definedName>
    <definedName name="m_3" localSheetId="0">'Controls OHD'!$HG$3:$HG$22</definedName>
    <definedName name="m_4" localSheetId="0">'Controls OHD'!$HH$3:$HH$12</definedName>
    <definedName name="m_5" localSheetId="0">'Controls OHD'!$HI$3:$HI$22</definedName>
    <definedName name="m_6" localSheetId="0">'Controls OHD'!$HJ$3:$HJ$6</definedName>
    <definedName name="m_7" localSheetId="0">'Controls OHD'!$HK$3:$HK$6</definedName>
    <definedName name="m_8" localSheetId="0">'Controls OHD'!$HL$3:$HL$4</definedName>
    <definedName name="MCS">Table235[MCS]</definedName>
    <definedName name="MCS.">Table32[[#All],[MCS]]</definedName>
    <definedName name="Mke" localSheetId="0">MAKE[MAKE]</definedName>
    <definedName name="Mod" localSheetId="0">PRODUCT[INDIA]</definedName>
    <definedName name="OTHERS">Table244[M8]</definedName>
    <definedName name="P_S" localSheetId="0">Table5[Paint Spec]</definedName>
    <definedName name="Q">Table242[M6]</definedName>
    <definedName name="Q.100">Table171[Q.100]</definedName>
    <definedName name="Q.300">Table172[Q.300]</definedName>
    <definedName name="Q.450">Table173[Q.450]</definedName>
    <definedName name="Q.650">Table174[Q.650]</definedName>
    <definedName name="ROM">Table266[ROM]</definedName>
    <definedName name="ROM.1">Table221[ROM.1]</definedName>
    <definedName name="ROM.2">Table223[ROM.2]</definedName>
    <definedName name="ROM.3">Table224[ROM.3]</definedName>
    <definedName name="ROM.4">Table225[ROM.4]</definedName>
    <definedName name="ROM.5">Table226[ROM.5]</definedName>
    <definedName name="ROM.6">Table227[ROM.6]</definedName>
    <definedName name="ROM.A">Table222[ROM.A]</definedName>
    <definedName name="ROMPAK">Table267[ROMPAK]</definedName>
    <definedName name="ROMPAK.1">Table228[ROMPAK.1]</definedName>
    <definedName name="ROMPAK.2">Table230[ROMPAK.2]</definedName>
    <definedName name="ROMPAK.3">Table231[ROMPAK.3]</definedName>
    <definedName name="ROMPAK.4">Table232[ROMPAK.4]</definedName>
    <definedName name="ROMPAK.5">Table233[ROMPAK.5]</definedName>
    <definedName name="ROMPAK.6">Table234[ROMPAK.6]</definedName>
    <definedName name="ROMPAK.A">Table229[ROMPAK.A]</definedName>
    <definedName name="SCHISCHEK">Table236[SCHISCHEK]</definedName>
    <definedName name="SCHISCHEK.">Table271[SCHISCHEK]</definedName>
    <definedName name="SM">Table237[SM]</definedName>
    <definedName name="SM.">Table268[SM]</definedName>
    <definedName name="UK">Table10[UK]</definedName>
    <definedName name="USA">Table1413[USA]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9" i="1" l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 l="1"/>
  <c r="O100" i="1" l="1"/>
  <c r="O102" i="1" s="1"/>
  <c r="O101" i="1" l="1"/>
  <c r="O103" i="1" s="1"/>
  <c r="O104" i="1" s="1"/>
  <c r="O10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Gopinathan, Sreenath</author>
  </authors>
  <commentList>
    <comment ref="AC4" authorId="0" shapeId="0" xr:uid="{D6E9F373-7DC2-4462-812F-DE22365AD4B7}">
      <text>
        <r>
          <rPr>
            <sz val="9"/>
            <color indexed="81"/>
            <rFont val="Tahoma"/>
            <family val="2"/>
          </rPr>
          <t xml:space="preserve">Either Gland Size or Cable OD to be provided for selecting the Cable Gland
</t>
        </r>
      </text>
    </comment>
  </commentList>
</comments>
</file>

<file path=xl/sharedStrings.xml><?xml version="1.0" encoding="utf-8"?>
<sst xmlns="http://schemas.openxmlformats.org/spreadsheetml/2006/main" count="4328" uniqueCount="429">
  <si>
    <t>GEARBOX DETAILS</t>
  </si>
  <si>
    <t>QTY</t>
  </si>
  <si>
    <t>UNIT PRICE</t>
  </si>
  <si>
    <t>WIRING DIAGRAM</t>
  </si>
  <si>
    <t>RPM</t>
  </si>
  <si>
    <t>POWER SUPPLY</t>
  </si>
  <si>
    <t>GEARBOX TYPE</t>
  </si>
  <si>
    <t>OUTPUT FLANGE</t>
  </si>
  <si>
    <t>S/N</t>
  </si>
  <si>
    <t>PO Line</t>
  </si>
  <si>
    <t>MAKE</t>
  </si>
  <si>
    <t>TAG NO</t>
  </si>
  <si>
    <t>UK</t>
  </si>
  <si>
    <t>USA</t>
  </si>
  <si>
    <t>IQT</t>
  </si>
  <si>
    <t xml:space="preserve">ENCLOSURE </t>
  </si>
  <si>
    <t>CVA</t>
  </si>
  <si>
    <t>CMA</t>
  </si>
  <si>
    <t>Q</t>
  </si>
  <si>
    <t>ROM</t>
  </si>
  <si>
    <t>MCS</t>
  </si>
  <si>
    <t>Select</t>
  </si>
  <si>
    <t>WT</t>
  </si>
  <si>
    <t>ATEX IIB</t>
  </si>
  <si>
    <t>FM</t>
  </si>
  <si>
    <t>CUTR</t>
  </si>
  <si>
    <t>415V-3P-50Hz</t>
  </si>
  <si>
    <t>400V-3P-50Hz</t>
  </si>
  <si>
    <t>380V-3P-50Hz</t>
  </si>
  <si>
    <t>220V-1P-50Hz</t>
  </si>
  <si>
    <t>230V-1P-50Hz</t>
  </si>
  <si>
    <t>240V-1P-50Hz</t>
  </si>
  <si>
    <t>FLP IIB (PESO)</t>
  </si>
  <si>
    <t>FLP IIC (PESO)</t>
  </si>
  <si>
    <t>IEC IIB</t>
  </si>
  <si>
    <t>IEC IIC</t>
  </si>
  <si>
    <t>ATEX IIC</t>
  </si>
  <si>
    <t>IEC EEXDE IIC</t>
  </si>
  <si>
    <t>ATEX EEXDE IIB</t>
  </si>
  <si>
    <t>ATEX EEXDE IIC</t>
  </si>
  <si>
    <t>STD TOP</t>
  </si>
  <si>
    <t>STD SIDE</t>
  </si>
  <si>
    <t>00-A-05 (IQ-STD)</t>
  </si>
  <si>
    <t>RAL7004 (K-STD)</t>
  </si>
  <si>
    <t>00-A-05 (IQT STD)</t>
  </si>
  <si>
    <t>RAL5024 (Q Std)</t>
  </si>
  <si>
    <t>RAL5024 (CK Std)</t>
  </si>
  <si>
    <t>CK</t>
  </si>
  <si>
    <t>CKQ</t>
  </si>
  <si>
    <t>RAL5010 (CMA Std)</t>
  </si>
  <si>
    <t>SIDE (Optional)</t>
  </si>
  <si>
    <t>Schischek STD</t>
  </si>
  <si>
    <t>ROM STD Blue</t>
  </si>
  <si>
    <t>4xM25 (IQT STD)</t>
  </si>
  <si>
    <t>4x1"BSC (K-Range)</t>
  </si>
  <si>
    <t>2 x M32 (Q-Range)</t>
  </si>
  <si>
    <t>2xM20 (ROM/ROMpak)</t>
  </si>
  <si>
    <t>OPERATING TIME</t>
  </si>
  <si>
    <t>4x1" NPT (IQT OPT.)</t>
  </si>
  <si>
    <t>3x1"NPT &amp; 1x1.5"NPT (IQ OPT.)</t>
  </si>
  <si>
    <t>3xM25 &amp; 1xM40  (IQ STD)</t>
  </si>
  <si>
    <t>Required</t>
  </si>
  <si>
    <t>Not Required</t>
  </si>
  <si>
    <t>UV Cover</t>
  </si>
  <si>
    <t>SS Name Plate</t>
  </si>
  <si>
    <t>Deep Cover</t>
  </si>
  <si>
    <t>Extra Setting Tools</t>
  </si>
  <si>
    <t>SPECIALS</t>
  </si>
  <si>
    <t>Fire Proofing</t>
  </si>
  <si>
    <t>KMASS</t>
  </si>
  <si>
    <t>SYSTEM ER</t>
  </si>
  <si>
    <t>OTHER SPECIAL REQUIREMENTS</t>
  </si>
  <si>
    <t>NA</t>
  </si>
  <si>
    <t>Machined to suit GB</t>
  </si>
  <si>
    <t>BLANK</t>
  </si>
  <si>
    <t>1xM20, 1xM25, 1x32 (CK STD)</t>
  </si>
  <si>
    <t>MODEL &amp;  RATIO</t>
  </si>
  <si>
    <t>IW</t>
  </si>
  <si>
    <t>MOW</t>
  </si>
  <si>
    <t>MTW</t>
  </si>
  <si>
    <t>IB</t>
  </si>
  <si>
    <t>IS</t>
  </si>
  <si>
    <t>Machined as per Cust. Spec</t>
  </si>
  <si>
    <t>Remote Hand Station (RHS)</t>
  </si>
  <si>
    <t>Local Hand Station (LHS)</t>
  </si>
  <si>
    <t>Push Button Station (PBS)</t>
  </si>
  <si>
    <t>Special Paint Code</t>
  </si>
  <si>
    <t>COVER TUBE LENGTH</t>
  </si>
  <si>
    <t>SPECIAL CABLE ENTRIES &amp; GLANDS</t>
  </si>
  <si>
    <t>ENTRY 1</t>
  </si>
  <si>
    <t>ENTRY 2</t>
  </si>
  <si>
    <t>ENTRY 3</t>
  </si>
  <si>
    <t>ENTRY 4</t>
  </si>
  <si>
    <t>REDUCER SIZE</t>
  </si>
  <si>
    <t>GLAND SIZE</t>
  </si>
  <si>
    <t>CABLE OD</t>
  </si>
  <si>
    <t xml:space="preserve">Total </t>
  </si>
  <si>
    <t>Packing &amp; Forwarding</t>
  </si>
  <si>
    <t>Logistics Surcharge</t>
  </si>
  <si>
    <t>GST</t>
  </si>
  <si>
    <t xml:space="preserve">Parking Cover </t>
  </si>
  <si>
    <t>Total Order Value</t>
  </si>
  <si>
    <t>Rate</t>
  </si>
  <si>
    <t>Total Order Value (without GST)</t>
  </si>
  <si>
    <t>OTHER ADDITIONAL REQUIREMENTS</t>
  </si>
  <si>
    <t>Special Power Supply</t>
  </si>
  <si>
    <t>Offer No</t>
  </si>
  <si>
    <t>Customer Name</t>
  </si>
  <si>
    <t>PO Number</t>
  </si>
  <si>
    <t>ADAPTION DETAILS</t>
  </si>
  <si>
    <t>SM</t>
  </si>
  <si>
    <t>LA</t>
  </si>
  <si>
    <t>**DEEP COVER REDUCERS**</t>
  </si>
  <si>
    <t>K</t>
  </si>
  <si>
    <t>ROMPAK</t>
  </si>
  <si>
    <t>SCHISCHEK</t>
  </si>
  <si>
    <t>OTHERS</t>
  </si>
  <si>
    <t>F10</t>
  </si>
  <si>
    <t>F05</t>
  </si>
  <si>
    <t>F07</t>
  </si>
  <si>
    <t>B1</t>
  </si>
  <si>
    <t>A</t>
  </si>
  <si>
    <t>F14</t>
  </si>
  <si>
    <t>B4</t>
  </si>
  <si>
    <t>L</t>
  </si>
  <si>
    <t>E</t>
  </si>
  <si>
    <t>B3</t>
  </si>
  <si>
    <t>F16</t>
  </si>
  <si>
    <t>F12</t>
  </si>
  <si>
    <t>B</t>
  </si>
  <si>
    <t>F25</t>
  </si>
  <si>
    <t>FA07</t>
  </si>
  <si>
    <t>F30</t>
  </si>
  <si>
    <t>FA10</t>
  </si>
  <si>
    <t>G0</t>
  </si>
  <si>
    <t>Z</t>
  </si>
  <si>
    <t>FA12</t>
  </si>
  <si>
    <t>G1/G2</t>
  </si>
  <si>
    <t>Z3</t>
  </si>
  <si>
    <t>FA14</t>
  </si>
  <si>
    <t>FA05</t>
  </si>
  <si>
    <t>G3</t>
  </si>
  <si>
    <t>FA16</t>
  </si>
  <si>
    <t>FA25</t>
  </si>
  <si>
    <t>MODEL</t>
  </si>
  <si>
    <t>BASE</t>
  </si>
  <si>
    <t>COUPLING</t>
  </si>
  <si>
    <t>FULL MODEL
(Not Listed)</t>
  </si>
  <si>
    <t>INDIA</t>
  </si>
  <si>
    <t>CHINA</t>
  </si>
  <si>
    <t>GERMANY</t>
  </si>
  <si>
    <t>24VDC</t>
  </si>
  <si>
    <t>48VDC</t>
  </si>
  <si>
    <t>110VDC</t>
  </si>
  <si>
    <t>CSA</t>
  </si>
  <si>
    <t>Product</t>
  </si>
  <si>
    <t>COVER TUBE LENGTH3</t>
  </si>
  <si>
    <r>
      <t xml:space="preserve">NO. OF TURNS
</t>
    </r>
    <r>
      <rPr>
        <b/>
        <sz val="8"/>
        <color rgb="FF0000FF"/>
        <rFont val="Calibri"/>
        <family val="2"/>
        <scheme val="minor"/>
      </rPr>
      <t>(Mandatory for K-Range)</t>
    </r>
  </si>
  <si>
    <r>
      <t xml:space="preserve">SPINDLE LEAD
</t>
    </r>
    <r>
      <rPr>
        <b/>
        <sz val="8"/>
        <color rgb="FF0000FF"/>
        <rFont val="Calibri"/>
        <family val="2"/>
        <scheme val="minor"/>
      </rPr>
      <t>(Mandatory for IQL, IQML, IQTFL, KL)</t>
    </r>
  </si>
  <si>
    <r>
      <t xml:space="preserve">CONDUIT ENTRIES
</t>
    </r>
    <r>
      <rPr>
        <b/>
        <sz val="8"/>
        <color rgb="FF0000FF"/>
        <rFont val="Calibri"/>
        <family val="2"/>
        <scheme val="minor"/>
      </rPr>
      <t>(Select Special Entries &amp; Glands in Table Above)</t>
    </r>
  </si>
  <si>
    <r>
      <t xml:space="preserve">ACTUATOR DRIVE BUSH
</t>
    </r>
    <r>
      <rPr>
        <b/>
        <sz val="8"/>
        <color rgb="FF0000FF"/>
        <rFont val="Calibri"/>
        <family val="2"/>
        <scheme val="minor"/>
      </rPr>
      <t>(If machining required as per customer Specs, provide the details in next column)</t>
    </r>
  </si>
  <si>
    <r>
      <t xml:space="preserve">GEARBOX DRIVE BUSH
</t>
    </r>
    <r>
      <rPr>
        <b/>
        <sz val="8"/>
        <color rgb="FF0000FF"/>
        <rFont val="Calibri"/>
        <family val="2"/>
        <scheme val="minor"/>
      </rPr>
      <t>(If machining required as per customer Specs, provide the details in next column)</t>
    </r>
  </si>
  <si>
    <t>MACHINING DETAILS
(BORE, KEYWAY, TOLERANCE)2</t>
  </si>
  <si>
    <t>IQ2</t>
  </si>
  <si>
    <t>IQ3</t>
  </si>
  <si>
    <t>IQT3</t>
  </si>
  <si>
    <t>EmtyList</t>
  </si>
  <si>
    <t>M1</t>
  </si>
  <si>
    <t>M2</t>
  </si>
  <si>
    <t>M3</t>
  </si>
  <si>
    <t>M4</t>
  </si>
  <si>
    <t>M5</t>
  </si>
  <si>
    <t>M6</t>
  </si>
  <si>
    <t>M7</t>
  </si>
  <si>
    <t>M8</t>
  </si>
  <si>
    <t>H/W size</t>
  </si>
  <si>
    <t>H/W Orientation</t>
  </si>
  <si>
    <t>Paint Spec</t>
  </si>
  <si>
    <t>Paint Shade</t>
  </si>
  <si>
    <t>SIZE</t>
  </si>
  <si>
    <t>Epoxy</t>
  </si>
  <si>
    <t>PU</t>
  </si>
  <si>
    <t>Value</t>
  </si>
  <si>
    <t>Column1</t>
  </si>
  <si>
    <r>
      <t xml:space="preserve">MACHINING DETAILS
</t>
    </r>
    <r>
      <rPr>
        <b/>
        <sz val="8"/>
        <color rgb="FF0000FF"/>
        <rFont val="Calibri"/>
        <family val="2"/>
        <scheme val="minor"/>
      </rPr>
      <t>(BORE, KEYWAY, TOLERANCE)-Free text</t>
    </r>
  </si>
  <si>
    <t>Gear box Needed?</t>
  </si>
  <si>
    <t>Yes</t>
  </si>
  <si>
    <t>No</t>
  </si>
  <si>
    <t>Yes/NO</t>
  </si>
  <si>
    <t>GB model</t>
  </si>
  <si>
    <t>Power Supply</t>
  </si>
  <si>
    <t>RAL5012</t>
  </si>
  <si>
    <t>BS631</t>
  </si>
  <si>
    <t>BS632</t>
  </si>
  <si>
    <t>RAL9005</t>
  </si>
  <si>
    <t>RAL7032</t>
  </si>
  <si>
    <t>RAL7035</t>
  </si>
  <si>
    <t>RAL5032</t>
  </si>
  <si>
    <t>RAL7005</t>
  </si>
  <si>
    <t>RAL5017</t>
  </si>
  <si>
    <t>Non-STD</t>
  </si>
  <si>
    <t>Column2</t>
  </si>
  <si>
    <t>Column3</t>
  </si>
  <si>
    <t>Conduit Entries</t>
  </si>
  <si>
    <t>Epoxy Primer Only</t>
  </si>
  <si>
    <t>No Paint</t>
  </si>
  <si>
    <t>GB Drive bush</t>
  </si>
  <si>
    <t>G4</t>
  </si>
  <si>
    <t>IQ.10</t>
  </si>
  <si>
    <t>IQ.12</t>
  </si>
  <si>
    <t>IQ.18</t>
  </si>
  <si>
    <t>IQ.20</t>
  </si>
  <si>
    <t>IQ.25</t>
  </si>
  <si>
    <t>IQ.35</t>
  </si>
  <si>
    <t>IQ.40</t>
  </si>
  <si>
    <t>IQ.70</t>
  </si>
  <si>
    <t>IQ.90</t>
  </si>
  <si>
    <t>IQ.91</t>
  </si>
  <si>
    <t>IQ.95</t>
  </si>
  <si>
    <t>IQT.125</t>
  </si>
  <si>
    <t>IQT.250</t>
  </si>
  <si>
    <t>IQT.500</t>
  </si>
  <si>
    <t>IQT.1000</t>
  </si>
  <si>
    <t>IQT.2000</t>
  </si>
  <si>
    <t>IQTM.125</t>
  </si>
  <si>
    <t>IQTM.250</t>
  </si>
  <si>
    <t>IQTM.500</t>
  </si>
  <si>
    <t>IQTM.1000</t>
  </si>
  <si>
    <t>K.30</t>
  </si>
  <si>
    <t>K.60</t>
  </si>
  <si>
    <t>K.150</t>
  </si>
  <si>
    <t>K.300</t>
  </si>
  <si>
    <t>K.500</t>
  </si>
  <si>
    <t>K.600</t>
  </si>
  <si>
    <t>K.1000</t>
  </si>
  <si>
    <t>K.800</t>
  </si>
  <si>
    <t>KM.30</t>
  </si>
  <si>
    <t>KM.60</t>
  </si>
  <si>
    <t>KM.300</t>
  </si>
  <si>
    <t>KM.150</t>
  </si>
  <si>
    <t>IQ2 BASES</t>
  </si>
  <si>
    <t>FA30</t>
  </si>
  <si>
    <t>Position 1</t>
  </si>
  <si>
    <t>Position 2</t>
  </si>
  <si>
    <t>F03</t>
  </si>
  <si>
    <t>FA03</t>
  </si>
  <si>
    <t>KL.30</t>
  </si>
  <si>
    <t>KL.60</t>
  </si>
  <si>
    <t>KL.150</t>
  </si>
  <si>
    <t>KL.300</t>
  </si>
  <si>
    <t>KML.30</t>
  </si>
  <si>
    <t>KML.60</t>
  </si>
  <si>
    <t>KML.150</t>
  </si>
  <si>
    <t>KML.300</t>
  </si>
  <si>
    <t>Q.100</t>
  </si>
  <si>
    <t>Q.300</t>
  </si>
  <si>
    <t>Q.450</t>
  </si>
  <si>
    <t>Q.650</t>
  </si>
  <si>
    <t>IEC EEXDE IIB</t>
  </si>
  <si>
    <t>NEMA</t>
  </si>
  <si>
    <t>SPECIAL</t>
  </si>
  <si>
    <t>FMC</t>
  </si>
  <si>
    <t>SIDE</t>
  </si>
  <si>
    <t>MOR. OPT</t>
  </si>
  <si>
    <t>IQM.10</t>
  </si>
  <si>
    <t>IQM.20</t>
  </si>
  <si>
    <t>IQM.25</t>
  </si>
  <si>
    <t>IQM.35</t>
  </si>
  <si>
    <t>IQML.10</t>
  </si>
  <si>
    <t>IQML.12</t>
  </si>
  <si>
    <t>IQML.20</t>
  </si>
  <si>
    <t>IQML.25</t>
  </si>
  <si>
    <t>IQS.12</t>
  </si>
  <si>
    <t>IQS.20</t>
  </si>
  <si>
    <t>IQS.35</t>
  </si>
  <si>
    <t>IQD.10</t>
  </si>
  <si>
    <t>IQD.12</t>
  </si>
  <si>
    <t>IQD.18</t>
  </si>
  <si>
    <t>IQD.20</t>
  </si>
  <si>
    <t>IQD.25</t>
  </si>
  <si>
    <t>IQL.10</t>
  </si>
  <si>
    <t>IQL.12</t>
  </si>
  <si>
    <t>IQL.20</t>
  </si>
  <si>
    <t>IQL.25</t>
  </si>
  <si>
    <t>IQTM.2000</t>
  </si>
  <si>
    <t>CVL.500</t>
  </si>
  <si>
    <t>CVL.1000</t>
  </si>
  <si>
    <t>CVL.1500</t>
  </si>
  <si>
    <t>CVL.5000</t>
  </si>
  <si>
    <t>CVQ.1200</t>
  </si>
  <si>
    <t>CVQ.2400</t>
  </si>
  <si>
    <t>CML.100</t>
  </si>
  <si>
    <t>CML.250</t>
  </si>
  <si>
    <t>CML.750</t>
  </si>
  <si>
    <t>CML.1500</t>
  </si>
  <si>
    <t>CML.3000</t>
  </si>
  <si>
    <t>CMQ.250</t>
  </si>
  <si>
    <t>CMQ.500</t>
  </si>
  <si>
    <t>CMQ.1000</t>
  </si>
  <si>
    <t>CMR.50</t>
  </si>
  <si>
    <t>CMR.89</t>
  </si>
  <si>
    <t>CMR.100</t>
  </si>
  <si>
    <t>CMR.125</t>
  </si>
  <si>
    <t>CMR.200</t>
  </si>
  <si>
    <t>CMR.250</t>
  </si>
  <si>
    <t>CKQ.135</t>
  </si>
  <si>
    <t>CKQ.400</t>
  </si>
  <si>
    <t>CKQ.610</t>
  </si>
  <si>
    <t>CKQ.1000</t>
  </si>
  <si>
    <t>--COUPLING--</t>
  </si>
  <si>
    <t>------BASE------</t>
  </si>
  <si>
    <t>-----COUPLING-----</t>
  </si>
  <si>
    <t>------RPM------</t>
  </si>
  <si>
    <t>------ENCLOSURE------</t>
  </si>
  <si>
    <t>------HW RATIO------</t>
  </si>
  <si>
    <t>IQ2M.12</t>
  </si>
  <si>
    <t>CK.30</t>
  </si>
  <si>
    <t>CK.60</t>
  </si>
  <si>
    <t>CK.120</t>
  </si>
  <si>
    <t>CK.250</t>
  </si>
  <si>
    <t>CK.500</t>
  </si>
  <si>
    <t>CKR.30</t>
  </si>
  <si>
    <t>CKR.60</t>
  </si>
  <si>
    <t>CKR.120</t>
  </si>
  <si>
    <t>CKR.250</t>
  </si>
  <si>
    <t>CKR.500</t>
  </si>
  <si>
    <t>ROM.1</t>
  </si>
  <si>
    <t>ROM.A</t>
  </si>
  <si>
    <t>ROM.2</t>
  </si>
  <si>
    <t>ROM.3</t>
  </si>
  <si>
    <t>ROM.4</t>
  </si>
  <si>
    <t>ROM.5</t>
  </si>
  <si>
    <t>ROM.6</t>
  </si>
  <si>
    <t>ROMPAK.1</t>
  </si>
  <si>
    <t>ROMPAK.A</t>
  </si>
  <si>
    <t>ROMPAK.2</t>
  </si>
  <si>
    <t>ROMPAK.3</t>
  </si>
  <si>
    <t>ROMPAK.4</t>
  </si>
  <si>
    <t>ROMPAK.5</t>
  </si>
  <si>
    <t>ROMPAK.6</t>
  </si>
  <si>
    <t>-----Travel Time-----</t>
  </si>
  <si>
    <t>IQ_10</t>
  </si>
  <si>
    <t>IQ_12</t>
  </si>
  <si>
    <t>IQ_18</t>
  </si>
  <si>
    <t>IQ_19</t>
  </si>
  <si>
    <t>IQ_20</t>
  </si>
  <si>
    <t>IQ_25</t>
  </si>
  <si>
    <t>IQ_35</t>
  </si>
  <si>
    <t>IQ_40</t>
  </si>
  <si>
    <t>IQ_70</t>
  </si>
  <si>
    <t>IQ_90</t>
  </si>
  <si>
    <t>IQ_91</t>
  </si>
  <si>
    <t>IQ_95</t>
  </si>
  <si>
    <t>IQM_10</t>
  </si>
  <si>
    <t>IQM_12</t>
  </si>
  <si>
    <t>IQM_20</t>
  </si>
  <si>
    <t>IQM_25</t>
  </si>
  <si>
    <t>IQM_35</t>
  </si>
  <si>
    <t>IQML_10</t>
  </si>
  <si>
    <t>IQML_12</t>
  </si>
  <si>
    <t>IQML_20</t>
  </si>
  <si>
    <t>IQML_25</t>
  </si>
  <si>
    <t>IQS_12</t>
  </si>
  <si>
    <t>IQS_20</t>
  </si>
  <si>
    <t>IQS_35</t>
  </si>
  <si>
    <t>IQD_10</t>
  </si>
  <si>
    <t>IQD_12</t>
  </si>
  <si>
    <t>IQD_18</t>
  </si>
  <si>
    <t>IQD_20</t>
  </si>
  <si>
    <t>IQD_25</t>
  </si>
  <si>
    <t>IQL_10</t>
  </si>
  <si>
    <t>IQL_12</t>
  </si>
  <si>
    <t>IQL_20</t>
  </si>
  <si>
    <t>IQT_125</t>
  </si>
  <si>
    <t>IQT_250</t>
  </si>
  <si>
    <t>IQT_500</t>
  </si>
  <si>
    <t>IQT_1000</t>
  </si>
  <si>
    <t>IQT_2000</t>
  </si>
  <si>
    <t>IQT_3000</t>
  </si>
  <si>
    <t>IQTM_125</t>
  </si>
  <si>
    <t>IQTM_250</t>
  </si>
  <si>
    <t>IQTM_500</t>
  </si>
  <si>
    <t>IQTM_1000</t>
  </si>
  <si>
    <t>IQTM_2000</t>
  </si>
  <si>
    <t>IQTM_3000</t>
  </si>
  <si>
    <t>IQTF_50</t>
  </si>
  <si>
    <t>IQTF_100</t>
  </si>
  <si>
    <t>IQTF_125</t>
  </si>
  <si>
    <t>IQTF_250</t>
  </si>
  <si>
    <t>IQTF_500</t>
  </si>
  <si>
    <t>IQTF_1000</t>
  </si>
  <si>
    <t>IQTF_2000</t>
  </si>
  <si>
    <t>IQTF_3000</t>
  </si>
  <si>
    <t>IQM.12</t>
  </si>
  <si>
    <t>Cust Insp</t>
  </si>
  <si>
    <t>COMMERCIAL &amp; TECHNICAL DETAILS OF IQ INDIAN MANUFACTURING</t>
  </si>
  <si>
    <t>MCS.</t>
  </si>
  <si>
    <t>IQ.2</t>
  </si>
  <si>
    <t>IQ.3</t>
  </si>
  <si>
    <t>IQT.3</t>
  </si>
  <si>
    <t>SM.</t>
  </si>
  <si>
    <t>LA.</t>
  </si>
  <si>
    <t>SCHISCHEK.</t>
  </si>
  <si>
    <t>PowderCoat</t>
  </si>
  <si>
    <t>Agreed Delivery Date</t>
  </si>
  <si>
    <t>TOP 1:1</t>
  </si>
  <si>
    <t>SIDE 12:1</t>
  </si>
  <si>
    <t>TOP SM 355</t>
  </si>
  <si>
    <t>TOP SM 660</t>
  </si>
  <si>
    <t>TOP SM 762</t>
  </si>
  <si>
    <t>SIDE 13.5:1</t>
  </si>
  <si>
    <t>SIDE 22.5:1</t>
  </si>
  <si>
    <t>TOP SM 431</t>
  </si>
  <si>
    <t>SIDE 15:1</t>
  </si>
  <si>
    <t>SIDE 30:1</t>
  </si>
  <si>
    <t>TOP SM 812</t>
  </si>
  <si>
    <t>SIDE 45:1</t>
  </si>
  <si>
    <t xml:space="preserve">TOP 1:1 </t>
  </si>
  <si>
    <t>SIDE 10:1</t>
  </si>
  <si>
    <t>SIDE 5:1</t>
  </si>
  <si>
    <t>SIDE 13.3:1</t>
  </si>
  <si>
    <t>SIDE 22.25:1</t>
  </si>
  <si>
    <t>H/W Specification</t>
  </si>
  <si>
    <t>Grey BS4800,00-A-05</t>
  </si>
  <si>
    <t>BHARAT INDUSTRIAL CORPORATION</t>
  </si>
  <si>
    <t xml:space="preserve">By mail </t>
  </si>
  <si>
    <t>K150F10A</t>
  </si>
  <si>
    <t>1610Z00</t>
  </si>
  <si>
    <t>BIC/RCIPL/23-24/01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</si>
</sst>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30" x14ac:knownFonts="1">
    <font>
      <sz val="11"/>
      <color theme="1"/>
      <name val="Calibri"/>
      <family val="2"/>
      <scheme val="minor"/>
    </font>
    <font>
      <sz val="10"/>
      <name val="Calibri Light"/>
      <family val="1"/>
      <scheme val="major"/>
    </font>
    <font>
      <sz val="9"/>
      <name val="Calibri Light"/>
      <family val="1"/>
      <scheme val="maj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 Light"/>
      <family val="1"/>
      <scheme val="major"/>
    </font>
    <font>
      <b/>
      <sz val="8"/>
      <color rgb="FF0000FF"/>
      <name val="Calibri"/>
      <family val="2"/>
      <scheme val="minor"/>
    </font>
    <font>
      <b/>
      <sz val="10"/>
      <name val="Calibri Light"/>
      <family val="2"/>
      <scheme val="major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Calibri Light"/>
      <family val="1"/>
      <scheme val="major"/>
    </font>
    <font>
      <b/>
      <sz val="8"/>
      <name val="Calibri"/>
      <family val="2"/>
      <scheme val="minor"/>
    </font>
    <font>
      <sz val="12"/>
      <name val="Calibri Light"/>
      <family val="1"/>
      <scheme val="maj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Perpetua Titling MT"/>
      <family val="1"/>
    </font>
    <font>
      <b/>
      <sz val="10"/>
      <color rgb="FF0000FF"/>
      <name val="Perpetua Titling MT"/>
      <family val="1"/>
    </font>
    <font>
      <b/>
      <sz val="10"/>
      <name val="Perpetua Titling MT"/>
      <family val="1"/>
    </font>
    <font>
      <sz val="10"/>
      <color theme="1"/>
      <name val="Perpetua Titling MT"/>
      <family val="1"/>
    </font>
    <font>
      <b/>
      <sz val="12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Aharoni"/>
      <charset val="177"/>
    </font>
    <font>
      <b/>
      <sz val="11"/>
      <name val="Angsana New"/>
      <family val="1"/>
      <charset val="222"/>
    </font>
    <font>
      <b/>
      <sz val="20"/>
      <name val="Angsana New"/>
      <family val="1"/>
      <charset val="222"/>
    </font>
    <font>
      <b/>
      <sz val="24"/>
      <name val="Angsana New"/>
      <family val="1"/>
      <charset val="22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</fills>
  <borders count="7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2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/>
      </right>
      <top style="medium">
        <color theme="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/>
      </right>
      <top style="thin">
        <color indexed="64"/>
      </top>
      <bottom/>
      <diagonal/>
    </border>
  </borders>
  <cellStyleXfs count="1">
    <xf numFmtId="0" fontId="0" fillId="0" borderId="0"/>
  </cellStyleXfs>
  <cellXfs count="219">
    <xf numFmtId="0" fontId="0" fillId="0" borderId="0" xfId="0"/>
    <xf numFmtId="0" fontId="1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vertical="center" wrapText="1"/>
      <protection hidden="1"/>
    </xf>
    <xf numFmtId="0" fontId="9" fillId="0" borderId="22" xfId="0" applyFont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4" fontId="1" fillId="0" borderId="0" xfId="0" applyNumberFormat="1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5" fillId="4" borderId="23" xfId="0" applyFont="1" applyFill="1" applyBorder="1" applyAlignment="1" applyProtection="1">
      <alignment horizontal="center" vertical="center" wrapText="1"/>
      <protection hidden="1"/>
    </xf>
    <xf numFmtId="0" fontId="5" fillId="4" borderId="24" xfId="0" applyFont="1" applyFill="1" applyBorder="1" applyAlignment="1" applyProtection="1">
      <alignment horizontal="center" vertical="center" wrapText="1"/>
      <protection hidden="1"/>
    </xf>
    <xf numFmtId="0" fontId="5" fillId="3" borderId="24" xfId="0" applyFont="1" applyFill="1" applyBorder="1" applyAlignment="1" applyProtection="1">
      <alignment horizontal="center" vertical="center" wrapText="1"/>
      <protection hidden="1"/>
    </xf>
    <xf numFmtId="0" fontId="5" fillId="3" borderId="25" xfId="0" applyFont="1" applyFill="1" applyBorder="1" applyAlignment="1" applyProtection="1">
      <alignment horizontal="center" vertical="center" wrapText="1"/>
      <protection hidden="1"/>
    </xf>
    <xf numFmtId="0" fontId="5" fillId="4" borderId="26" xfId="0" applyFont="1" applyFill="1" applyBorder="1" applyAlignment="1" applyProtection="1">
      <alignment horizontal="center" vertical="center" wrapText="1"/>
      <protection hidden="1"/>
    </xf>
    <xf numFmtId="0" fontId="5" fillId="4" borderId="27" xfId="0" applyFont="1" applyFill="1" applyBorder="1" applyAlignment="1" applyProtection="1">
      <alignment horizontal="center" vertical="center" wrapText="1"/>
      <protection hidden="1"/>
    </xf>
    <xf numFmtId="0" fontId="5" fillId="3" borderId="28" xfId="0" applyFont="1" applyFill="1" applyBorder="1" applyAlignment="1" applyProtection="1">
      <alignment horizontal="center" vertical="center" wrapText="1"/>
      <protection hidden="1"/>
    </xf>
    <xf numFmtId="0" fontId="5" fillId="3" borderId="26" xfId="0" applyFont="1" applyFill="1" applyBorder="1" applyAlignment="1" applyProtection="1">
      <alignment horizontal="center" vertical="center" wrapText="1"/>
      <protection hidden="1"/>
    </xf>
    <xf numFmtId="0" fontId="5" fillId="4" borderId="25" xfId="0" applyFont="1" applyFill="1" applyBorder="1" applyAlignment="1" applyProtection="1">
      <alignment horizontal="center" vertical="center" wrapText="1"/>
      <protection hidden="1"/>
    </xf>
    <xf numFmtId="0" fontId="14" fillId="3" borderId="26" xfId="0" applyFont="1" applyFill="1" applyBorder="1" applyAlignment="1" applyProtection="1">
      <alignment horizontal="center" vertical="center" wrapText="1"/>
      <protection hidden="1"/>
    </xf>
    <xf numFmtId="0" fontId="14" fillId="4" borderId="26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 wrapText="1"/>
      <protection hidden="1"/>
    </xf>
    <xf numFmtId="0" fontId="7" fillId="4" borderId="0" xfId="0" applyFont="1" applyFill="1" applyAlignment="1" applyProtection="1">
      <alignment horizontal="center" vertical="center" wrapText="1"/>
      <protection hidden="1"/>
    </xf>
    <xf numFmtId="0" fontId="5" fillId="4" borderId="34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0" fillId="0" borderId="37" xfId="0" applyBorder="1" applyAlignment="1">
      <alignment horizontal="center"/>
    </xf>
    <xf numFmtId="0" fontId="0" fillId="0" borderId="0" xfId="0" applyAlignment="1">
      <alignment horizontal="center"/>
    </xf>
    <xf numFmtId="0" fontId="11" fillId="0" borderId="9" xfId="0" applyFont="1" applyBorder="1" applyAlignment="1" applyProtection="1">
      <alignment horizontal="center" vertical="center"/>
      <protection hidden="1"/>
    </xf>
    <xf numFmtId="0" fontId="11" fillId="0" borderId="3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right" vertical="center" wrapText="1"/>
      <protection hidden="1"/>
    </xf>
    <xf numFmtId="0" fontId="22" fillId="0" borderId="0" xfId="0" applyFont="1" applyAlignment="1" applyProtection="1">
      <alignment horizontal="center" vertical="center" wrapText="1"/>
      <protection hidden="1"/>
    </xf>
    <xf numFmtId="4" fontId="22" fillId="0" borderId="0" xfId="0" applyNumberFormat="1" applyFont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right" vertical="center"/>
      <protection hidden="1"/>
    </xf>
    <xf numFmtId="9" fontId="22" fillId="0" borderId="0" xfId="0" applyNumberFormat="1" applyFont="1" applyAlignment="1" applyProtection="1">
      <alignment horizontal="center" vertical="center" wrapText="1"/>
      <protection hidden="1"/>
    </xf>
    <xf numFmtId="4" fontId="9" fillId="3" borderId="35" xfId="0" applyNumberFormat="1" applyFont="1" applyFill="1" applyBorder="1" applyAlignment="1" applyProtection="1">
      <alignment horizontal="center" vertical="center" wrapText="1"/>
      <protection hidden="1"/>
    </xf>
    <xf numFmtId="0" fontId="23" fillId="0" borderId="4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/>
    </xf>
    <xf numFmtId="0" fontId="24" fillId="0" borderId="2" xfId="0" applyFont="1" applyBorder="1" applyAlignment="1">
      <alignment horizontal="center" vertical="center" wrapText="1"/>
    </xf>
    <xf numFmtId="0" fontId="23" fillId="0" borderId="46" xfId="0" applyFont="1" applyBorder="1" applyAlignment="1">
      <alignment vertical="center"/>
    </xf>
    <xf numFmtId="0" fontId="23" fillId="0" borderId="47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23" fillId="0" borderId="48" xfId="0" quotePrefix="1" applyFont="1" applyBorder="1" applyAlignment="1">
      <alignment horizontal="center" vertical="center" wrapText="1"/>
    </xf>
    <xf numFmtId="0" fontId="0" fillId="0" borderId="11" xfId="0" quotePrefix="1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 wrapText="1"/>
    </xf>
    <xf numFmtId="0" fontId="23" fillId="0" borderId="48" xfId="0" quotePrefix="1" applyFont="1" applyBorder="1" applyAlignment="1">
      <alignment horizontal="center" vertical="center"/>
    </xf>
    <xf numFmtId="0" fontId="23" fillId="0" borderId="50" xfId="0" quotePrefix="1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0" xfId="0" quotePrefix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23" fillId="5" borderId="51" xfId="0" quotePrefix="1" applyFont="1" applyFill="1" applyBorder="1" applyAlignment="1">
      <alignment horizontal="center" vertical="center"/>
    </xf>
    <xf numFmtId="0" fontId="25" fillId="7" borderId="0" xfId="0" applyFont="1" applyFill="1" applyAlignment="1">
      <alignment horizontal="center" vertical="center"/>
    </xf>
    <xf numFmtId="0" fontId="23" fillId="5" borderId="48" xfId="0" quotePrefix="1" applyFon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2" xfId="0" quotePrefix="1" applyFill="1" applyBorder="1" applyAlignment="1">
      <alignment horizontal="center" vertical="center"/>
    </xf>
    <xf numFmtId="0" fontId="0" fillId="5" borderId="11" xfId="0" quotePrefix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3" fillId="0" borderId="47" xfId="0" applyFont="1" applyBorder="1" applyAlignment="1">
      <alignment horizontal="center" wrapText="1"/>
    </xf>
    <xf numFmtId="0" fontId="0" fillId="0" borderId="48" xfId="0" applyBorder="1" applyAlignment="1">
      <alignment horizontal="center"/>
    </xf>
    <xf numFmtId="0" fontId="23" fillId="0" borderId="47" xfId="0" applyFon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5" borderId="48" xfId="0" quotePrefix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3" fillId="5" borderId="48" xfId="0" quotePrefix="1" applyFont="1" applyFill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48" xfId="0" quotePrefix="1" applyBorder="1" applyAlignment="1">
      <alignment horizontal="center"/>
    </xf>
    <xf numFmtId="0" fontId="0" fillId="5" borderId="11" xfId="0" quotePrefix="1" applyFill="1" applyBorder="1" applyAlignment="1">
      <alignment horizontal="center"/>
    </xf>
    <xf numFmtId="0" fontId="24" fillId="0" borderId="50" xfId="0" applyFont="1" applyBorder="1" applyAlignment="1">
      <alignment horizontal="center" vertical="center" wrapText="1"/>
    </xf>
    <xf numFmtId="0" fontId="24" fillId="0" borderId="48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23" fillId="5" borderId="54" xfId="0" applyFont="1" applyFill="1" applyBorder="1" applyAlignment="1">
      <alignment horizontal="center" vertical="center"/>
    </xf>
    <xf numFmtId="0" fontId="23" fillId="0" borderId="55" xfId="0" applyFont="1" applyBorder="1" applyAlignment="1">
      <alignment horizontal="center" vertical="center"/>
    </xf>
    <xf numFmtId="0" fontId="23" fillId="5" borderId="55" xfId="0" applyFont="1" applyFill="1" applyBorder="1" applyAlignment="1">
      <alignment horizontal="center" vertical="center"/>
    </xf>
    <xf numFmtId="0" fontId="23" fillId="5" borderId="56" xfId="0" applyFont="1" applyFill="1" applyBorder="1" applyAlignment="1">
      <alignment horizontal="center" vertical="center"/>
    </xf>
    <xf numFmtId="0" fontId="25" fillId="7" borderId="55" xfId="0" applyFont="1" applyFill="1" applyBorder="1" applyAlignment="1">
      <alignment horizontal="center" vertical="center"/>
    </xf>
    <xf numFmtId="0" fontId="25" fillId="7" borderId="53" xfId="0" applyFont="1" applyFill="1" applyBorder="1" applyAlignment="1">
      <alignment horizontal="center" vertical="center"/>
    </xf>
    <xf numFmtId="0" fontId="9" fillId="0" borderId="57" xfId="0" applyFont="1" applyBorder="1" applyAlignment="1">
      <alignment horizontal="center" vertical="center" wrapText="1"/>
    </xf>
    <xf numFmtId="0" fontId="1" fillId="5" borderId="39" xfId="0" applyFont="1" applyFill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5" borderId="2" xfId="0" quotePrefix="1" applyFill="1" applyBorder="1" applyAlignment="1">
      <alignment horizontal="center" vertical="center"/>
    </xf>
    <xf numFmtId="0" fontId="23" fillId="5" borderId="58" xfId="0" quotePrefix="1" applyFont="1" applyFill="1" applyBorder="1" applyAlignment="1">
      <alignment horizontal="center" vertical="center"/>
    </xf>
    <xf numFmtId="0" fontId="0" fillId="5" borderId="58" xfId="0" quotePrefix="1" applyFill="1" applyBorder="1" applyAlignment="1">
      <alignment horizontal="center"/>
    </xf>
    <xf numFmtId="0" fontId="0" fillId="5" borderId="2" xfId="0" quotePrefix="1" applyFill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0" fillId="5" borderId="20" xfId="0" quotePrefix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5" borderId="59" xfId="0" quotePrefix="1" applyFont="1" applyFill="1" applyBorder="1" applyAlignment="1">
      <alignment horizontal="center" vertical="center"/>
    </xf>
    <xf numFmtId="0" fontId="0" fillId="5" borderId="59" xfId="0" quotePrefix="1" applyFill="1" applyBorder="1" applyAlignment="1">
      <alignment horizontal="center"/>
    </xf>
    <xf numFmtId="0" fontId="0" fillId="5" borderId="20" xfId="0" quotePrefix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29" xfId="0" quotePrefix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3" fillId="5" borderId="60" xfId="0" quotePrefix="1" applyFont="1" applyFill="1" applyBorder="1" applyAlignment="1">
      <alignment horizontal="center" vertical="center"/>
    </xf>
    <xf numFmtId="0" fontId="0" fillId="5" borderId="60" xfId="0" quotePrefix="1" applyFill="1" applyBorder="1" applyAlignment="1">
      <alignment horizontal="center"/>
    </xf>
    <xf numFmtId="0" fontId="0" fillId="5" borderId="29" xfId="0" quotePrefix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3" fillId="0" borderId="30" xfId="0" applyFont="1" applyBorder="1" applyAlignment="1">
      <alignment horizontal="center" vertical="center" wrapText="1"/>
    </xf>
    <xf numFmtId="0" fontId="0" fillId="5" borderId="51" xfId="0" quotePrefix="1" applyFill="1" applyBorder="1" applyAlignment="1">
      <alignment horizontal="center"/>
    </xf>
    <xf numFmtId="0" fontId="9" fillId="3" borderId="35" xfId="0" applyFont="1" applyFill="1" applyBorder="1" applyAlignment="1" applyProtection="1">
      <alignment horizontal="center" vertical="center" wrapText="1"/>
      <protection hidden="1"/>
    </xf>
    <xf numFmtId="0" fontId="7" fillId="3" borderId="35" xfId="0" applyFont="1" applyFill="1" applyBorder="1" applyAlignment="1" applyProtection="1">
      <alignment horizontal="center" vertical="center" wrapText="1"/>
      <protection hidden="1"/>
    </xf>
    <xf numFmtId="0" fontId="7" fillId="3" borderId="36" xfId="0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vertical="center"/>
      <protection hidden="1"/>
    </xf>
    <xf numFmtId="0" fontId="11" fillId="0" borderId="35" xfId="0" applyFont="1" applyBorder="1" applyAlignment="1" applyProtection="1">
      <alignment horizontal="center" vertical="center"/>
      <protection hidden="1"/>
    </xf>
    <xf numFmtId="0" fontId="11" fillId="0" borderId="36" xfId="0" applyFont="1" applyBorder="1" applyAlignment="1" applyProtection="1">
      <alignment horizontal="center" vertical="center"/>
      <protection hidden="1"/>
    </xf>
    <xf numFmtId="0" fontId="1" fillId="0" borderId="53" xfId="0" applyFont="1" applyBorder="1" applyAlignment="1">
      <alignment horizontal="center" vertical="center" wrapText="1"/>
    </xf>
    <xf numFmtId="0" fontId="1" fillId="5" borderId="38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5" borderId="61" xfId="0" applyFont="1" applyFill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26" fillId="4" borderId="5" xfId="0" applyFont="1" applyFill="1" applyBorder="1" applyAlignment="1" applyProtection="1">
      <alignment vertical="center" wrapText="1"/>
      <protection hidden="1"/>
    </xf>
    <xf numFmtId="0" fontId="26" fillId="4" borderId="6" xfId="0" applyFont="1" applyFill="1" applyBorder="1" applyAlignment="1" applyProtection="1">
      <alignment vertical="center" wrapText="1"/>
      <protection hidden="1"/>
    </xf>
    <xf numFmtId="0" fontId="27" fillId="4" borderId="4" xfId="0" applyFont="1" applyFill="1" applyBorder="1" applyAlignment="1" applyProtection="1">
      <alignment vertical="center"/>
      <protection hidden="1"/>
    </xf>
    <xf numFmtId="0" fontId="27" fillId="4" borderId="5" xfId="0" applyFont="1" applyFill="1" applyBorder="1" applyAlignment="1" applyProtection="1">
      <alignment vertical="center" wrapText="1"/>
      <protection hidden="1"/>
    </xf>
    <xf numFmtId="0" fontId="28" fillId="4" borderId="5" xfId="0" applyFont="1" applyFill="1" applyBorder="1" applyAlignment="1" applyProtection="1">
      <alignment vertical="center" wrapText="1"/>
      <protection hidden="1"/>
    </xf>
    <xf numFmtId="0" fontId="29" fillId="4" borderId="4" xfId="0" applyFont="1" applyFill="1" applyBorder="1" applyAlignment="1" applyProtection="1">
      <alignment vertical="center"/>
      <protection hidden="1"/>
    </xf>
    <xf numFmtId="0" fontId="1" fillId="5" borderId="45" xfId="0" applyFont="1" applyFill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3" fillId="5" borderId="68" xfId="0" applyFont="1" applyFill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5" borderId="69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9" fillId="0" borderId="38" xfId="0" applyFont="1" applyBorder="1" applyAlignment="1" applyProtection="1">
      <alignment horizontal="center" vertical="center" wrapText="1"/>
      <protection hidden="1"/>
    </xf>
    <xf numFmtId="0" fontId="18" fillId="0" borderId="2" xfId="0" applyFont="1" applyBorder="1" applyAlignment="1" applyProtection="1">
      <alignment horizontal="center" vertical="center" wrapText="1"/>
      <protection locked="0"/>
    </xf>
    <xf numFmtId="4" fontId="20" fillId="0" borderId="40" xfId="0" applyNumberFormat="1" applyFont="1" applyBorder="1" applyAlignment="1" applyProtection="1">
      <alignment horizontal="center" vertical="center" wrapText="1"/>
      <protection locked="0"/>
    </xf>
    <xf numFmtId="4" fontId="20" fillId="0" borderId="40" xfId="0" applyNumberFormat="1" applyFont="1" applyBorder="1" applyAlignment="1">
      <alignment horizontal="center" vertical="center" wrapText="1"/>
    </xf>
    <xf numFmtId="0" fontId="20" fillId="0" borderId="40" xfId="0" applyFont="1" applyBorder="1" applyAlignment="1" applyProtection="1">
      <alignment horizontal="center" vertical="center" wrapText="1"/>
      <protection locked="0"/>
    </xf>
    <xf numFmtId="0" fontId="9" fillId="0" borderId="40" xfId="0" applyFont="1" applyBorder="1" applyAlignment="1">
      <alignment horizontal="center" vertical="center" wrapText="1"/>
    </xf>
    <xf numFmtId="164" fontId="20" fillId="0" borderId="42" xfId="0" applyNumberFormat="1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10" xfId="0" applyFont="1" applyBorder="1" applyAlignment="1" applyProtection="1">
      <alignment horizontal="center" vertical="center"/>
      <protection locked="0"/>
    </xf>
    <xf numFmtId="0" fontId="21" fillId="0" borderId="40" xfId="0" applyFont="1" applyBorder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center" vertical="center"/>
      <protection locked="0"/>
    </xf>
    <xf numFmtId="0" fontId="18" fillId="0" borderId="2" xfId="0" applyFont="1" applyBorder="1" applyAlignment="1">
      <alignment horizontal="center" vertical="center" wrapText="1"/>
    </xf>
    <xf numFmtId="4" fontId="18" fillId="0" borderId="2" xfId="0" applyNumberFormat="1" applyFont="1" applyBorder="1" applyAlignment="1">
      <alignment horizontal="center" vertical="center" wrapText="1"/>
    </xf>
    <xf numFmtId="0" fontId="18" fillId="0" borderId="20" xfId="0" applyFont="1" applyBorder="1" applyAlignment="1" applyProtection="1">
      <alignment horizontal="center" vertical="center" wrapText="1"/>
      <protection locked="0"/>
    </xf>
    <xf numFmtId="0" fontId="18" fillId="0" borderId="29" xfId="0" quotePrefix="1" applyFont="1" applyBorder="1" applyAlignment="1" applyProtection="1">
      <alignment horizontal="center" vertical="center" wrapText="1"/>
      <protection locked="0"/>
    </xf>
    <xf numFmtId="0" fontId="18" fillId="0" borderId="29" xfId="0" quotePrefix="1" applyFont="1" applyBorder="1" applyAlignment="1">
      <alignment horizontal="center" vertical="center" wrapText="1"/>
    </xf>
    <xf numFmtId="0" fontId="18" fillId="0" borderId="7" xfId="0" applyFont="1" applyBorder="1" applyAlignment="1" applyProtection="1">
      <alignment horizontal="center" vertical="center" wrapText="1"/>
      <protection locked="0"/>
    </xf>
    <xf numFmtId="9" fontId="22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4" xfId="0" applyFont="1" applyFill="1" applyBorder="1" applyAlignment="1" applyProtection="1">
      <alignment horizontal="center" vertical="center" wrapText="1"/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0" fontId="3" fillId="4" borderId="6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right" vertical="center" wrapText="1"/>
      <protection hidden="1"/>
    </xf>
    <xf numFmtId="4" fontId="9" fillId="2" borderId="1" xfId="0" applyNumberFormat="1" applyFont="1" applyFill="1" applyBorder="1" applyAlignment="1" applyProtection="1">
      <alignment horizontal="center" vertical="center" wrapText="1"/>
      <protection hidden="1"/>
    </xf>
    <xf numFmtId="4" fontId="9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7" fillId="4" borderId="31" xfId="0" applyFont="1" applyFill="1" applyBorder="1" applyAlignment="1" applyProtection="1">
      <alignment horizontal="center" vertical="center" wrapText="1"/>
      <protection hidden="1"/>
    </xf>
    <xf numFmtId="0" fontId="7" fillId="4" borderId="32" xfId="0" applyFont="1" applyFill="1" applyBorder="1" applyAlignment="1" applyProtection="1">
      <alignment horizontal="center" vertical="center" wrapText="1"/>
      <protection hidden="1"/>
    </xf>
    <xf numFmtId="0" fontId="7" fillId="4" borderId="33" xfId="0" applyFont="1" applyFill="1" applyBorder="1" applyAlignment="1" applyProtection="1">
      <alignment horizontal="center" vertical="center" wrapText="1"/>
      <protection hidden="1"/>
    </xf>
    <xf numFmtId="0" fontId="7" fillId="0" borderId="64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20" fillId="0" borderId="65" xfId="0" applyFont="1" applyBorder="1" applyAlignment="1" applyProtection="1">
      <alignment horizontal="center" vertical="center" wrapText="1"/>
      <protection locked="0"/>
    </xf>
    <xf numFmtId="0" fontId="7" fillId="0" borderId="9" xfId="0" applyFont="1" applyBorder="1" applyAlignment="1" applyProtection="1">
      <alignment horizontal="left" vertical="center" wrapText="1"/>
      <protection hidden="1"/>
    </xf>
    <xf numFmtId="0" fontId="7" fillId="0" borderId="2" xfId="0" applyFont="1" applyBorder="1" applyAlignment="1" applyProtection="1">
      <alignment horizontal="left" vertical="center" wrapText="1"/>
      <protection hidden="1"/>
    </xf>
    <xf numFmtId="0" fontId="20" fillId="0" borderId="62" xfId="0" applyFont="1" applyBorder="1" applyAlignment="1" applyProtection="1">
      <alignment horizontal="center" vertical="center" wrapText="1"/>
      <protection locked="0"/>
    </xf>
    <xf numFmtId="0" fontId="20" fillId="0" borderId="63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hidden="1"/>
    </xf>
    <xf numFmtId="0" fontId="7" fillId="0" borderId="3" xfId="0" applyFont="1" applyBorder="1" applyAlignment="1" applyProtection="1">
      <alignment horizontal="left" vertical="center" wrapText="1"/>
      <protection hidden="1"/>
    </xf>
    <xf numFmtId="0" fontId="7" fillId="0" borderId="40" xfId="0" applyFont="1" applyBorder="1" applyAlignment="1" applyProtection="1">
      <alignment horizontal="left" vertical="center" wrapText="1"/>
      <protection hidden="1"/>
    </xf>
    <xf numFmtId="0" fontId="20" fillId="0" borderId="64" xfId="0" applyFont="1" applyBorder="1" applyAlignment="1" applyProtection="1">
      <alignment horizontal="center" vertical="center" wrapText="1"/>
      <protection locked="0"/>
    </xf>
    <xf numFmtId="0" fontId="20" fillId="0" borderId="9" xfId="0" applyFont="1" applyBorder="1" applyAlignment="1" applyProtection="1">
      <alignment horizontal="center" vertical="center" wrapText="1"/>
      <protection locked="0"/>
    </xf>
    <xf numFmtId="0" fontId="20" fillId="0" borderId="2" xfId="0" applyFon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11" fillId="4" borderId="4" xfId="0" applyFont="1" applyFill="1" applyBorder="1" applyAlignment="1" applyProtection="1">
      <alignment horizontal="center" vertical="center"/>
      <protection hidden="1"/>
    </xf>
    <xf numFmtId="0" fontId="11" fillId="4" borderId="5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left" vertical="center" wrapText="1"/>
      <protection hidden="1"/>
    </xf>
    <xf numFmtId="0" fontId="13" fillId="0" borderId="21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20" xfId="0" applyFont="1" applyBorder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8" xfId="0" applyFont="1" applyBorder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9" fillId="0" borderId="12" xfId="0" applyFont="1" applyBorder="1" applyAlignment="1" applyProtection="1">
      <alignment horizontal="left" vertical="center" wrapText="1"/>
      <protection locked="0"/>
    </xf>
    <xf numFmtId="0" fontId="19" fillId="0" borderId="13" xfId="0" applyFont="1" applyBorder="1" applyAlignment="1" applyProtection="1">
      <alignment horizontal="left" vertical="center" wrapText="1"/>
      <protection locked="0"/>
    </xf>
    <xf numFmtId="0" fontId="19" fillId="0" borderId="14" xfId="0" applyFont="1" applyBorder="1" applyAlignment="1" applyProtection="1">
      <alignment horizontal="left" vertical="center" wrapText="1"/>
      <protection locked="0"/>
    </xf>
    <xf numFmtId="0" fontId="19" fillId="0" borderId="15" xfId="0" applyFont="1" applyBorder="1" applyAlignment="1" applyProtection="1">
      <alignment horizontal="left" vertical="center" wrapText="1"/>
      <protection locked="0"/>
    </xf>
    <xf numFmtId="0" fontId="19" fillId="0" borderId="11" xfId="0" applyFont="1" applyBorder="1" applyAlignment="1" applyProtection="1">
      <alignment horizontal="left" vertical="center" wrapText="1"/>
      <protection locked="0"/>
    </xf>
    <xf numFmtId="0" fontId="19" fillId="0" borderId="16" xfId="0" applyFont="1" applyBorder="1" applyAlignment="1" applyProtection="1">
      <alignment horizontal="left" vertical="center" wrapText="1"/>
      <protection locked="0"/>
    </xf>
    <xf numFmtId="0" fontId="19" fillId="0" borderId="17" xfId="0" applyFont="1" applyBorder="1" applyAlignment="1" applyProtection="1">
      <alignment horizontal="left" vertical="center" wrapText="1"/>
      <protection locked="0"/>
    </xf>
    <xf numFmtId="0" fontId="19" fillId="0" borderId="18" xfId="0" applyFont="1" applyBorder="1" applyAlignment="1" applyProtection="1">
      <alignment horizontal="left" vertical="center" wrapText="1"/>
      <protection locked="0"/>
    </xf>
    <xf numFmtId="0" fontId="19" fillId="0" borderId="19" xfId="0" applyFont="1" applyBorder="1" applyAlignment="1" applyProtection="1">
      <alignment horizontal="left" vertical="center" wrapText="1"/>
      <protection locked="0"/>
    </xf>
    <xf numFmtId="0" fontId="20" fillId="0" borderId="3" xfId="0" applyFont="1" applyBorder="1" applyAlignment="1" applyProtection="1">
      <alignment horizontal="center" vertical="center" wrapText="1"/>
      <protection locked="0"/>
    </xf>
    <xf numFmtId="0" fontId="20" fillId="0" borderId="40" xfId="0" applyFont="1" applyBorder="1" applyAlignment="1" applyProtection="1">
      <alignment horizontal="center" vertical="center" wrapText="1"/>
      <protection locked="0"/>
    </xf>
    <xf numFmtId="0" fontId="20" fillId="0" borderId="41" xfId="0" applyFont="1" applyBorder="1" applyAlignment="1" applyProtection="1">
      <alignment horizontal="center" vertical="center" wrapText="1"/>
      <protection locked="0"/>
    </xf>
    <xf numFmtId="0" fontId="9" fillId="4" borderId="31" xfId="0" applyFont="1" applyFill="1" applyBorder="1" applyAlignment="1" applyProtection="1">
      <alignment horizontal="center" vertical="center" wrapText="1"/>
      <protection hidden="1"/>
    </xf>
    <xf numFmtId="0" fontId="9" fillId="4" borderId="32" xfId="0" applyFont="1" applyFill="1" applyBorder="1" applyAlignment="1" applyProtection="1">
      <alignment horizontal="center" vertical="center" wrapText="1"/>
      <protection hidden="1"/>
    </xf>
    <xf numFmtId="0" fontId="9" fillId="4" borderId="33" xfId="0" applyFont="1" applyFill="1" applyBorder="1" applyAlignment="1" applyProtection="1">
      <alignment horizontal="center" vertical="center" wrapText="1"/>
      <protection hidden="1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8" fillId="0" borderId="35" xfId="0" applyFont="1" applyBorder="1" applyAlignment="1" applyProtection="1">
      <alignment horizontal="center" vertical="center" wrapText="1"/>
      <protection locked="0"/>
    </xf>
    <xf numFmtId="0" fontId="18" fillId="0" borderId="36" xfId="0" applyFont="1" applyBorder="1" applyAlignment="1" applyProtection="1">
      <alignment horizontal="center" vertical="center" wrapText="1"/>
      <protection locked="0"/>
    </xf>
    <xf numFmtId="0" fontId="18" fillId="0" borderId="64" xfId="0" applyFont="1" applyBorder="1" applyAlignment="1" applyProtection="1">
      <alignment horizontal="center" vertical="center" wrapText="1"/>
      <protection locked="0"/>
    </xf>
    <xf numFmtId="0" fontId="18" fillId="0" borderId="7" xfId="0" applyFont="1" applyBorder="1" applyAlignment="1" applyProtection="1">
      <alignment horizontal="center" vertical="center" wrapText="1"/>
      <protection locked="0"/>
    </xf>
    <xf numFmtId="0" fontId="18" fillId="0" borderId="65" xfId="0" applyFont="1" applyBorder="1" applyAlignment="1" applyProtection="1">
      <alignment horizontal="center" vertical="center" wrapText="1"/>
      <protection locked="0"/>
    </xf>
    <xf numFmtId="0" fontId="18" fillId="0" borderId="66" xfId="0" applyFont="1" applyBorder="1" applyAlignment="1" applyProtection="1">
      <alignment horizontal="center" vertical="center" wrapText="1"/>
      <protection locked="0"/>
    </xf>
    <xf numFmtId="0" fontId="18" fillId="0" borderId="62" xfId="0" applyFont="1" applyBorder="1" applyAlignment="1" applyProtection="1">
      <alignment horizontal="center" vertical="center" wrapText="1"/>
      <protection locked="0"/>
    </xf>
    <xf numFmtId="0" fontId="18" fillId="0" borderId="63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972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  <protection locked="1" hidden="1"/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 tint="0.39997558519241921"/>
        </left>
        <right style="thin">
          <color theme="4"/>
        </right>
        <top style="thin">
          <color theme="4" tint="0.39997558519241921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 tint="0.39997558519241921"/>
        </left>
        <right style="thin">
          <color theme="4"/>
        </right>
        <top style="thin">
          <color theme="4" tint="0.39997558519241921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 tint="0.39997558519241921"/>
        </left>
        <right style="thin">
          <color theme="4"/>
        </right>
        <top style="thin">
          <color theme="4" tint="0.39997558519241921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medium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 tint="0.39997558519241921"/>
        </left>
        <right style="thin">
          <color theme="4"/>
        </right>
        <top style="thin">
          <color indexed="64"/>
        </top>
        <bottom style="thin">
          <color theme="4" tint="0.39997558519241921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alignment horizontal="center" vertical="center" textRotation="0" wrapText="1" indent="0" justifyLastLine="0" shrinkToFit="0" readingOrder="0"/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border outline="0">
        <right style="thin">
          <color theme="4"/>
        </right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protection locked="1" hidden="1"/>
    </dxf>
    <dxf>
      <protection locked="1" hidden="1"/>
    </dxf>
    <dxf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alignment horizont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Perpetua Titling MT"/>
        <family val="1"/>
        <scheme val="none"/>
      </font>
      <protection locked="1" hidden="0"/>
    </dxf>
    <dxf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47625</xdr:rowOff>
    </xdr:from>
    <xdr:to>
      <xdr:col>3</xdr:col>
      <xdr:colOff>216088</xdr:colOff>
      <xdr:row>2</xdr:row>
      <xdr:rowOff>100027</xdr:rowOff>
    </xdr:to>
    <xdr:pic>
      <xdr:nvPicPr>
        <xdr:cNvPr id="2" name="Picture 1" descr="X:\Chennai General Data\rotork style guide 2011\Styleguide Resources\Basic Elements\Company Logotypes\Rotork Controls\For Powerpoint+Word\RGB\RC RGB.png">
          <a:extLst>
            <a:ext uri="{FF2B5EF4-FFF2-40B4-BE49-F238E27FC236}">
              <a16:creationId xmlns:a16="http://schemas.microsoft.com/office/drawing/2014/main" id="{D64E7687-7913-4A2B-AE5C-4680ACFBFF0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7625"/>
          <a:ext cx="1234329" cy="65610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309562</xdr:colOff>
      <xdr:row>4</xdr:row>
      <xdr:rowOff>47626</xdr:rowOff>
    </xdr:from>
    <xdr:to>
      <xdr:col>15</xdr:col>
      <xdr:colOff>624290</xdr:colOff>
      <xdr:row>7</xdr:row>
      <xdr:rowOff>111125</xdr:rowOff>
    </xdr:to>
    <xdr:sp macro="[0]!Cleardata" textlink="">
      <xdr:nvSpPr>
        <xdr:cNvPr id="6" name="Flowchart: Punched Tape 5">
          <a:extLst>
            <a:ext uri="{FF2B5EF4-FFF2-40B4-BE49-F238E27FC236}">
              <a16:creationId xmlns:a16="http://schemas.microsoft.com/office/drawing/2014/main" id="{068E0A8C-904E-49EE-9F3C-0D98C4BC2B41}"/>
            </a:ext>
          </a:extLst>
        </xdr:cNvPr>
        <xdr:cNvSpPr/>
      </xdr:nvSpPr>
      <xdr:spPr>
        <a:xfrm>
          <a:off x="10358437" y="1031876"/>
          <a:ext cx="1537103" cy="634999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  <a:r>
            <a:rPr lang="en-IN" sz="1400" baseline="0"/>
            <a:t> ALL DATA</a:t>
          </a:r>
          <a:endParaRPr lang="en-IN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F9453F1-BD66-4957-A9FC-94941F40E0A5}" name="MAKE" displayName="MAKE" ref="GW3:GW8" totalsRowShown="0" headerRowDxfId="881" dataDxfId="880">
  <autoFilter ref="GW3:GW8" xr:uid="{CF9453F1-BD66-4957-A9FC-94941F40E0A5}"/>
  <tableColumns count="1">
    <tableColumn id="1" xr3:uid="{209E4538-D29D-4601-A3AD-CEEF2289F3EA}" name="MAKE" dataDxfId="8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1439129-BBDE-441C-A36D-7D570D390E0F}" name="PRODUCT" displayName="PRODUCT" ref="GY3:GY12" totalsRowShown="0" headerRowDxfId="878" dataDxfId="877">
  <autoFilter ref="GY3:GY12" xr:uid="{C1439129-BBDE-441C-A36D-7D570D390E0F}"/>
  <tableColumns count="1">
    <tableColumn id="1" xr3:uid="{28D88E26-7856-41A6-89A7-6884A2948FF9}" name="INDIA" dataDxfId="87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CA2DF4-EABB-4F9B-AEEB-88D6A36002EF}" name="Table3" displayName="Table3" ref="B10:AL99" totalsRowShown="0" headerRowDxfId="875" dataDxfId="874" tableBorderDxfId="873">
  <autoFilter ref="B10:AL99" xr:uid="{5ACA2DF4-EABB-4F9B-AEEB-88D6A36002EF}"/>
  <tableColumns count="37">
    <tableColumn id="1" xr3:uid="{D27B7102-867D-4AFA-92B8-BC5C35E34BC8}" name="S/N" dataDxfId="872"/>
    <tableColumn id="2" xr3:uid="{AF56A439-314F-4C3E-82E1-EA491D9E1815}" name="PO Line" dataDxfId="871"/>
    <tableColumn id="3" xr3:uid="{991B9ABA-1CB9-4FCC-9851-30543B2B3C2D}" name="TAG NO" dataDxfId="870"/>
    <tableColumn id="4" xr3:uid="{137AAA90-0DB1-4ACC-B828-26259D634D12}" name="MAKE" dataDxfId="869"/>
    <tableColumn id="5" xr3:uid="{6E15BFCB-0B4B-4314-8231-4DDBD978D45A}" name="MODEL" dataDxfId="868"/>
    <tableColumn id="6" xr3:uid="{A0BFC83A-0F58-4BC8-B0E6-549A4524890F}" name="SIZE" dataDxfId="867"/>
    <tableColumn id="21" xr3:uid="{89BF164E-5C80-4575-B982-2B80F1064FEF}" name="Column2" dataDxfId="866"/>
    <tableColumn id="7" xr3:uid="{66F7D287-8F80-42D0-8681-6FF3FC34F08B}" name="BASE" dataDxfId="865"/>
    <tableColumn id="8" xr3:uid="{3DDF869E-0FA4-4890-A224-D7D0322971A9}" name="COUPLING" dataDxfId="864"/>
    <tableColumn id="9" xr3:uid="{00D79525-3B7A-4D37-9954-D050FE201EC6}" name="FULL MODEL_x000a_(Not Listed)" dataDxfId="863"/>
    <tableColumn id="37" xr3:uid="{820E801A-D9D3-45F3-9EAF-3C029A3D3488}" name="Column1" dataDxfId="862"/>
    <tableColumn id="10" xr3:uid="{FB890F55-5E36-4566-B5C8-BAD20EB9A0A1}" name="QTY" dataDxfId="861"/>
    <tableColumn id="11" xr3:uid="{28A8227C-0D38-4433-B195-D31DCAD5670A}" name="UNIT PRICE" dataDxfId="860"/>
    <tableColumn id="12" xr3:uid="{181160A9-E52B-42A9-8EDC-0B980F9E7D0D}" name="Value" dataDxfId="859">
      <calculatedColumnFormula>Table3[[#This Row],[UNIT PRICE]]*Table3[[#This Row],[QTY]]</calculatedColumnFormula>
    </tableColumn>
    <tableColumn id="13" xr3:uid="{DD02FBD8-1CFF-44D6-A432-C224A28B4840}" name="WIRING DIAGRAM" dataDxfId="858"/>
    <tableColumn id="14" xr3:uid="{62FB4066-1411-4605-A315-AF77AA378274}" name="RPM" dataDxfId="857"/>
    <tableColumn id="15" xr3:uid="{D3969A3B-19D7-430F-9DB7-BD3412CB327A}" name="POWER SUPPLY" dataDxfId="856"/>
    <tableColumn id="16" xr3:uid="{1A219FFE-5426-4FC8-A35D-0E5EA5B7DAA9}" name="NO. OF TURNS_x000a_(Mandatory for K-Range)" dataDxfId="855"/>
    <tableColumn id="17" xr3:uid="{B5C08CE4-382D-45E5-9DA6-81464535E799}" name="OPERATING TIME" dataDxfId="854"/>
    <tableColumn id="38" xr3:uid="{3CA98929-2E62-4724-90DE-B494DC783424}" name="Column3" dataDxfId="853"/>
    <tableColumn id="18" xr3:uid="{038CAD73-1274-4BCD-A3A6-DFDDDCF1B224}" name="ENCLOSURE " dataDxfId="852"/>
    <tableColumn id="19" xr3:uid="{9ACF92C3-3413-4D78-9CE6-B1D19E9E2EF1}" name="SPINDLE LEAD_x000a_(Mandatory for IQL, IQML, IQTFL, KL)" dataDxfId="851"/>
    <tableColumn id="32" xr3:uid="{2B2A1C8D-9455-4FE0-9466-756778D38DE8}" name="H/W Specification" dataDxfId="850"/>
    <tableColumn id="33" xr3:uid="{825E59B9-693C-4BE2-9B09-1867B6BD7D09}" name="H/W size" dataDxfId="849"/>
    <tableColumn id="35" xr3:uid="{16EE552B-33AA-492F-8C31-298E268EE72C}" name="Paint Spec" dataDxfId="848"/>
    <tableColumn id="36" xr3:uid="{2387F71D-E4EC-47D0-A9E6-09038E4F06B5}" name="Paint Shade" dataDxfId="847"/>
    <tableColumn id="22" xr3:uid="{F6D39A56-14CC-4162-8E86-F1DCE7623B0D}" name="COVER TUBE LENGTH" dataDxfId="846"/>
    <tableColumn id="23" xr3:uid="{933211BF-11A6-4F96-8D18-5579BAD8C81D}" name="CONDUIT ENTRIES_x000a_(Select Special Entries &amp; Glands in Table Above)" dataDxfId="845"/>
    <tableColumn id="24" xr3:uid="{495E91E5-5253-49EA-BD65-B269FC93C267}" name="ACTUATOR DRIVE BUSH_x000a_(If machining required as per customer Specs, provide the details in next column)" dataDxfId="844"/>
    <tableColumn id="25" xr3:uid="{312148DA-BE62-4BF1-B053-4CC4F6F3DF1A}" name="MACHINING DETAILS_x000a_(BORE, KEYWAY, TOLERANCE)-Free text" dataDxfId="843"/>
    <tableColumn id="20" xr3:uid="{EB8F6506-CDF8-43C1-B106-593A66019F0F}" name="Gear box Needed?" dataDxfId="842"/>
    <tableColumn id="26" xr3:uid="{1009E521-AD0F-4772-82E1-650D731C4EBC}" name="GEARBOX TYPE" dataDxfId="841"/>
    <tableColumn id="27" xr3:uid="{E1AB9948-CD52-4BC8-AA5B-CAB355414566}" name="MODEL &amp;  RATIO" dataDxfId="840"/>
    <tableColumn id="28" xr3:uid="{8CEC7ED8-D06B-4D85-AF35-422345F9BDFC}" name="OUTPUT FLANGE" dataDxfId="839"/>
    <tableColumn id="29" xr3:uid="{B6B3A439-493D-4284-AC49-09321EB85B40}" name="GEARBOX DRIVE BUSH_x000a_(If machining required as per customer Specs, provide the details in next column)" dataDxfId="838"/>
    <tableColumn id="30" xr3:uid="{A0AB35EC-8932-4796-992A-1E8065F98CBE}" name="MACHINING DETAILS_x000a_(BORE, KEYWAY, TOLERANCE)2" dataDxfId="837"/>
    <tableColumn id="31" xr3:uid="{6360C13D-F68E-410B-85A6-17789315F562}" name="COVER TUBE LENGTH3" dataDxfId="8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AD3252-0AEE-4D58-87DF-F30A995E7E67}" name="Table2" displayName="Table2" ref="IA2:IA7" totalsRowShown="0" headerRowDxfId="835" dataDxfId="834">
  <tableColumns count="1">
    <tableColumn id="1" xr3:uid="{0082FD13-468A-4426-8498-F87067F7B08E}" name="H/W Orientation" dataDxfId="8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9D2C8B5-A131-44AA-A26D-BC6C3A47503E}" name="Table5" displayName="Table5" ref="IO2:IO8" totalsRowShown="0" headerRowDxfId="832" dataDxfId="831">
  <tableColumns count="1">
    <tableColumn id="1" xr3:uid="{94F8C16C-B8C5-41DF-AAB8-00C32095D6B7}" name="Paint Spec" dataDxfId="8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45C81C-96C4-4542-A660-71B3D05E797A}" name="Table6" displayName="Table6" ref="IQ2:IQ4" totalsRowShown="0" headerRowDxfId="829" dataDxfId="828">
  <autoFilter ref="IQ2:IQ4" xr:uid="{0045C81C-96C4-4542-A660-71B3D05E797A}"/>
  <tableColumns count="1">
    <tableColumn id="1" xr3:uid="{D8FF2AF0-A716-40A5-B5D8-C1E40AE232B5}" name="Yes/NO" dataDxfId="8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14350E-7163-418C-B781-DECDBF3009F2}" name="Table7" displayName="Table7" ref="IG2:IG4" totalsRowShown="0" headerRowDxfId="826" dataDxfId="825">
  <autoFilter ref="IG2:IG4" xr:uid="{EC14350E-7163-418C-B781-DECDBF3009F2}"/>
  <tableColumns count="1">
    <tableColumn id="1" xr3:uid="{56908805-ABBF-4736-A5E2-605DA130F1CE}" name="Select" dataDxfId="8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891DCA-5678-4E22-93F9-2189FFFD30C4}" name="Table9" displayName="Table9" ref="IM2:IM8" totalsRowShown="0" headerRowDxfId="823" dataDxfId="822">
  <autoFilter ref="IM2:IM8" xr:uid="{71891DCA-5678-4E22-93F9-2189FFFD30C4}"/>
  <tableColumns count="1">
    <tableColumn id="1" xr3:uid="{D6417B02-ECE2-4375-9F47-21B56590F0F7}" name="GB model" dataDxfId="82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7252EB6-78F6-4F2F-9446-93A025E972F3}" name="Table16" displayName="Table16" ref="HX2:HX13" totalsRowShown="0" headerRowDxfId="820" dataDxfId="819">
  <autoFilter ref="HX2:HX13" xr:uid="{37252EB6-78F6-4F2F-9446-93A025E972F3}"/>
  <tableColumns count="1">
    <tableColumn id="1" xr3:uid="{8BE4C1B4-5DB9-4D5B-ACFA-9704B84F45A9}" name="Power Supply" dataDxfId="8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3ADCF58-B723-48E7-8DEE-9A5D7AD7F034}" name="Table18" displayName="Table18" ref="IC2:IC20" totalsRowShown="0" headerRowDxfId="817" dataDxfId="816">
  <autoFilter ref="IC2:IC20" xr:uid="{43ADCF58-B723-48E7-8DEE-9A5D7AD7F034}"/>
  <tableColumns count="1">
    <tableColumn id="1" xr3:uid="{5E0C15FA-3BB8-45FC-9FF5-ADDD38263D9A}" name="Paint Shade" dataDxfId="8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FE25222-7BAE-4C5D-A6CF-85E57A550191}" name="Table34" displayName="Table34" ref="IE2:IE12" totalsRowShown="0" headerRowDxfId="814" dataDxfId="813" tableBorderDxfId="812">
  <autoFilter ref="IE2:IE12" xr:uid="{1FE25222-7BAE-4C5D-A6CF-85E57A550191}"/>
  <tableColumns count="1">
    <tableColumn id="1" xr3:uid="{792F83E5-9437-45C6-99B2-FF65CAFD9A9E}" name="Conduit Entries" dataDxfId="81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5479885-B77A-488D-B50D-027D20C08E95}" name="Table37" displayName="Table37" ref="IK2:IK5" totalsRowShown="0" headerRowDxfId="810" dataDxfId="809">
  <autoFilter ref="IK2:IK5" xr:uid="{45479885-B77A-488D-B50D-027D20C08E95}"/>
  <tableColumns count="1">
    <tableColumn id="1" xr3:uid="{6BEE2D77-3AAE-4568-A5D8-AA90BD87F5EE}" name="GB Drive bush" dataDxfId="80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98ED198-4A2E-4711-ACFE-36B1EEF06852}" name="Table30" displayName="Table30" ref="HE2:HE34" totalsRowShown="0" headerRowDxfId="807" dataDxfId="806" tableBorderDxfId="805">
  <autoFilter ref="HE2:HE34" xr:uid="{398ED198-4A2E-4711-ACFE-36B1EEF06852}"/>
  <tableColumns count="1">
    <tableColumn id="1" xr3:uid="{8A95FBEC-3BE9-4007-8AE0-AABC81B77C11}" name="M1" dataDxfId="80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FCB2934A-85BD-4927-A54B-8D6AD9B47D77}" name="Table170" displayName="Table170" ref="HF2:HF34" totalsRowShown="0" headerRowDxfId="803" dataDxfId="802" tableBorderDxfId="801">
  <autoFilter ref="HF2:HF34" xr:uid="{FCB2934A-85BD-4927-A54B-8D6AD9B47D77}"/>
  <tableColumns count="1">
    <tableColumn id="1" xr3:uid="{E5B1AA4F-B85F-4479-819A-AC786AC742B1}" name="M2" dataDxfId="80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516854C-AA2B-4168-9C5E-2641C0E6F865}" name="Table239" displayName="Table239" ref="HG2:HG22" totalsRowShown="0" headerRowDxfId="799" dataDxfId="798" tableBorderDxfId="797">
  <autoFilter ref="HG2:HG22" xr:uid="{0516854C-AA2B-4168-9C5E-2641C0E6F865}"/>
  <tableColumns count="1">
    <tableColumn id="1" xr3:uid="{33707EF5-6C4F-457C-8B53-DE92BE773190}" name="M3" dataDxfId="79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9" xr:uid="{D7CA5F49-45F7-4871-AA7D-A5B429090B43}" name="Table240" displayName="Table240" ref="HH2:HH12" totalsRowShown="0" headerRowDxfId="795" dataDxfId="794" tableBorderDxfId="793">
  <autoFilter ref="HH2:HH12" xr:uid="{D7CA5F49-45F7-4871-AA7D-A5B429090B43}"/>
  <tableColumns count="1">
    <tableColumn id="1" xr3:uid="{ECBE9BD2-28C5-4C08-BF80-8898193F9C32}" name="M4" dataDxfId="79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28EBC583-A0BB-41B1-8327-6370E56D34AD}" name="Table241" displayName="Table241" ref="HI2:HI22" totalsRowShown="0" headerRowDxfId="791" dataDxfId="790" tableBorderDxfId="789">
  <autoFilter ref="HI2:HI22" xr:uid="{28EBC583-A0BB-41B1-8327-6370E56D34AD}"/>
  <tableColumns count="1">
    <tableColumn id="1" xr3:uid="{A8CE79E1-184D-44E7-9233-A2B26D496AEB}" name="M5" dataDxfId="78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D28F74BA-394C-4750-B6F3-B2FEF51FAE13}" name="Table242" displayName="Table242" ref="HJ2:HJ6" totalsRowShown="0" headerRowDxfId="787" dataDxfId="786" tableBorderDxfId="785">
  <autoFilter ref="HJ2:HJ6" xr:uid="{D28F74BA-394C-4750-B6F3-B2FEF51FAE13}"/>
  <tableColumns count="1">
    <tableColumn id="1" xr3:uid="{094CA263-0ACC-41CB-AE64-5CACD8264BC0}" name="M6" dataDxfId="78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49F71F10-A632-473C-8F01-98450D8BE812}" name="Table243" displayName="Table243" ref="HK2:HK6" totalsRowShown="0" headerRowDxfId="783" dataDxfId="782" tableBorderDxfId="781">
  <autoFilter ref="HK2:HK6" xr:uid="{49F71F10-A632-473C-8F01-98450D8BE812}"/>
  <tableColumns count="1">
    <tableColumn id="1" xr3:uid="{B82FC4DB-6679-4345-B2F1-161C46D8E92D}" name="M7" dataDxfId="78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3" xr:uid="{65B6E952-5FDB-4A4E-8142-F59BBED7BADF}" name="Table244" displayName="Table244" ref="HL2:HL4" totalsRowShown="0" headerRowDxfId="779" tableBorderDxfId="778">
  <autoFilter ref="HL2:HL4" xr:uid="{65B6E952-5FDB-4A4E-8142-F59BBED7BADF}"/>
  <tableColumns count="1">
    <tableColumn id="1" xr3:uid="{D108A309-3255-4FA4-9EA9-DDC7E2B9EF5C}" name="M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2583B81-8426-4AAC-A775-CB66BA78CBCE}" name="Table10" displayName="Table10" ref="GZ3:GZ9" totalsRowShown="0" headerRowDxfId="777" dataDxfId="776" tableBorderDxfId="775">
  <autoFilter ref="GZ3:GZ9" xr:uid="{72583B81-8426-4AAC-A775-CB66BA78CBCE}"/>
  <tableColumns count="1">
    <tableColumn id="1" xr3:uid="{D124C709-E03B-4BE2-AB07-76B46691AFA7}" name="UK" dataDxfId="77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8A641FF-8671-4A42-B85E-CD054076F5CE}" name="Table11" displayName="Table11" ref="HA3:HA6" totalsRowShown="0" headerRowDxfId="773" dataDxfId="772">
  <autoFilter ref="HA3:HA6" xr:uid="{C8A641FF-8671-4A42-B85E-CD054076F5CE}"/>
  <tableColumns count="1">
    <tableColumn id="1" xr3:uid="{5DD3C8DE-503E-48D6-9FE0-77928D30B39E}" name="CHINA" dataDxfId="77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8F99B0-2A33-43A5-AD48-AEF8F05CE816}" name="Table1413" displayName="Table1413" ref="HB3:HB7" totalsRowShown="0" headerRowDxfId="770" tableBorderDxfId="769">
  <autoFilter ref="HB3:HB7" xr:uid="{F88F99B0-2A33-43A5-AD48-AEF8F05CE816}"/>
  <tableColumns count="1">
    <tableColumn id="1" xr3:uid="{2FE11B45-8F29-4D9B-B0DE-62C5F87F4779}" name="USA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B197DCD-7AB1-4269-B245-5FFB8376FAF4}" name="Table1722" displayName="Table1722" ref="HC3:HC5" totalsRowShown="0" headerRowDxfId="768" tableBorderDxfId="767">
  <autoFilter ref="HC3:HC5" xr:uid="{4B197DCD-7AB1-4269-B245-5FFB8376FAF4}"/>
  <tableColumns count="1">
    <tableColumn id="1" xr3:uid="{EA3F2D2C-8895-4A97-8E23-4CAE3460BD68}" name="GERMANY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6817849-8330-4651-9F1F-0628EEE237DB}" name="Table31" displayName="Table31" ref="HM2:HM8" totalsRowShown="0" headerRowDxfId="766" dataDxfId="765" tableBorderDxfId="764">
  <autoFilter ref="HM2:HM8" xr:uid="{86817849-8330-4651-9F1F-0628EEE237DB}"/>
  <tableColumns count="1">
    <tableColumn id="1" xr3:uid="{3EE50B38-82CC-45EB-8508-FB3DE08883CD}" name="CVA" dataDxfId="76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D6668C4-BB23-4CD5-B016-0960B11BA86C}" name="Table32" displayName="Table32" ref="HN2:HN3" totalsRowShown="0" headerRowDxfId="762" dataDxfId="761">
  <autoFilter ref="HN2:HN3" xr:uid="{2D6668C4-BB23-4CD5-B016-0960B11BA86C}"/>
  <tableColumns count="1">
    <tableColumn id="1" xr3:uid="{ECEB733C-3FDD-481A-8DE9-EE3FC5BC81DA}" name="MCS" dataDxfId="76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4" xr:uid="{B7F898A1-70B1-4D13-A860-5D4C40D05BFF}" name="Table265" displayName="Table265" ref="HO2:HO12" totalsRowShown="0" headerRowDxfId="759" dataDxfId="758" tableBorderDxfId="757">
  <autoFilter ref="HO2:HO12" xr:uid="{B7F898A1-70B1-4D13-A860-5D4C40D05BFF}"/>
  <tableColumns count="1">
    <tableColumn id="1" xr3:uid="{C2D39784-5E1B-4B74-A32A-5945D9C11AE3}" name="CK" dataDxfId="75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5" xr:uid="{5BE66309-1AD6-4B18-9892-6BB991FAA2A7}" name="Table266" displayName="Table266" ref="HP2:HP9" totalsRowShown="0" headerRowDxfId="755" dataDxfId="754" tableBorderDxfId="753">
  <autoFilter ref="HP2:HP9" xr:uid="{5BE66309-1AD6-4B18-9892-6BB991FAA2A7}"/>
  <tableColumns count="1">
    <tableColumn id="1" xr3:uid="{55CB5265-F9E6-4386-A9B1-768EABB42D4D}" name="ROM" dataDxfId="75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6" xr:uid="{512DC204-F8DB-4400-9C32-666C9D3A9382}" name="Table267" displayName="Table267" ref="HQ2:HQ9" totalsRowShown="0" headerRowDxfId="751" dataDxfId="750">
  <autoFilter ref="HQ2:HQ9" xr:uid="{512DC204-F8DB-4400-9C32-666C9D3A9382}"/>
  <tableColumns count="1">
    <tableColumn id="1" xr3:uid="{D8CBA7CC-1902-4B55-ACFE-6F5DB8A010A0}" name="ROMPAK" dataDxfId="749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8" xr:uid="{ACCE5B6B-5873-40D6-B438-B21DA705816A}" name="Table268" displayName="Table268" ref="HR2:HR3" totalsRowShown="0" headerRowDxfId="748" dataDxfId="747">
  <autoFilter ref="HR2:HR3" xr:uid="{ACCE5B6B-5873-40D6-B438-B21DA705816A}"/>
  <tableColumns count="1">
    <tableColumn id="1" xr3:uid="{9C402EEF-62AE-4E07-9646-764E33C85B61}" name="SM" dataDxfId="74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9" xr:uid="{F99C4A8F-74CB-4BD6-87E7-230B826C929A}" name="Table269" displayName="Table269" ref="HS2:HS3" totalsRowShown="0" headerRowDxfId="745" dataDxfId="744">
  <autoFilter ref="HS2:HS3" xr:uid="{F99C4A8F-74CB-4BD6-87E7-230B826C929A}"/>
  <tableColumns count="1">
    <tableColumn id="1" xr3:uid="{AB3DF0D3-D99B-4E69-A6E7-DA8D1FAAD4BF}" name="LA" dataDxfId="74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0" xr:uid="{D48E5872-CFF0-408A-BEEA-8B3FA1B5EEF3}" name="Table270" displayName="Table270" ref="HT2:HT16" totalsRowShown="0" headerRowDxfId="742" dataDxfId="741" tableBorderDxfId="740">
  <autoFilter ref="HT2:HT16" xr:uid="{D48E5872-CFF0-408A-BEEA-8B3FA1B5EEF3}"/>
  <tableColumns count="1">
    <tableColumn id="1" xr3:uid="{29A82BC6-7EB4-4A9C-AD25-83F661A80F44}" name="CMA" dataDxfId="739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1" xr:uid="{30DEF1D8-56BC-40D2-89D2-ED960B93CE57}" name="Table271" displayName="Table271" ref="HU2:HU3" totalsRowShown="0" headerRowDxfId="738" dataDxfId="737" tableBorderDxfId="736">
  <autoFilter ref="HU2:HU3" xr:uid="{30DEF1D8-56BC-40D2-89D2-ED960B93CE57}"/>
  <tableColumns count="1">
    <tableColumn id="1" xr3:uid="{C4FAA0DB-D0BE-49C3-8E19-8359F9D2667B}" name="SCHISCHEK" dataDxfId="73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89AF07-2FB1-4BE1-A711-617E9D15645C}" name="Table42" displayName="Table42" ref="A2:A38" totalsRowShown="0" headerRowDxfId="734" dataDxfId="732" headerRowBorderDxfId="733" tableBorderDxfId="731" totalsRowBorderDxfId="730">
  <autoFilter ref="A2:A38" xr:uid="{2789AF07-2FB1-4BE1-A711-617E9D15645C}"/>
  <tableColumns count="1">
    <tableColumn id="1" xr3:uid="{5B71718B-351E-4E8F-9497-B373F99519E8}" name="IQ.10" dataDxfId="72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0D6FE73-F342-4EA6-B302-EE46FFB06A19}" name="Table47" displayName="Table47" ref="B2:B38" totalsRowShown="0" headerRowDxfId="728" dataDxfId="726" headerRowBorderDxfId="727" tableBorderDxfId="725" totalsRowBorderDxfId="724">
  <autoFilter ref="B2:B38" xr:uid="{B0D6FE73-F342-4EA6-B302-EE46FFB06A19}"/>
  <tableColumns count="1">
    <tableColumn id="1" xr3:uid="{10A69A59-1675-49D1-8543-5A9DAA1E2C35}" name="IQ.12" dataDxfId="723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1CDF76B-C312-413B-AD7D-7D7C3F6207DA}" name="Table48" displayName="Table48" ref="C2:C31" totalsRowShown="0" headerRowDxfId="722" dataDxfId="720" headerRowBorderDxfId="721" tableBorderDxfId="719" totalsRowBorderDxfId="718">
  <autoFilter ref="C2:C31" xr:uid="{E1CDF76B-C312-413B-AD7D-7D7C3F6207DA}"/>
  <tableColumns count="1">
    <tableColumn id="1" xr3:uid="{4E621D84-FA67-430B-9813-19B1DECF9FAF}" name="IQ.18" dataDxfId="717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CECF18D-02EB-45AD-8634-0D9D66AE05C8}" name="Table50" displayName="Table50" ref="D2:D44" totalsRowShown="0" headerRowDxfId="716" dataDxfId="714" headerRowBorderDxfId="715" tableBorderDxfId="713" totalsRowBorderDxfId="712">
  <autoFilter ref="D2:D44" xr:uid="{7CECF18D-02EB-45AD-8634-0D9D66AE05C8}"/>
  <tableColumns count="1">
    <tableColumn id="1" xr3:uid="{C733A61A-D2F1-4C02-992E-9043CA2C2EB8}" name="IQ.20" dataDxfId="71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20ACEC9-3D00-4CE4-B5C8-869DB40E9E1E}" name="Table51" displayName="Table51" ref="E2:E44" totalsRowShown="0" headerRowDxfId="710" dataDxfId="708" headerRowBorderDxfId="709" tableBorderDxfId="707" totalsRowBorderDxfId="706">
  <autoFilter ref="E2:E44" xr:uid="{020ACEC9-3D00-4CE4-B5C8-869DB40E9E1E}"/>
  <tableColumns count="1">
    <tableColumn id="1" xr3:uid="{85A9BE33-9E1B-4ACA-8CC0-7C981D713E9C}" name="IQ.25" dataDxfId="705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87DA596B-E0EF-4E3F-B7AE-E8CE5F391436}" name="Table52" displayName="Table52" ref="F2:F43" totalsRowShown="0" headerRowDxfId="704" dataDxfId="702" headerRowBorderDxfId="703" tableBorderDxfId="701" totalsRowBorderDxfId="700">
  <autoFilter ref="F2:F43" xr:uid="{87DA596B-E0EF-4E3F-B7AE-E8CE5F391436}"/>
  <tableColumns count="1">
    <tableColumn id="1" xr3:uid="{798B8269-AD2F-4FFA-852F-85A7EEA8E7F3}" name="IQ.35" dataDxfId="699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8CB6581-30B7-4B5A-A0C5-11C22E10982E}" name="Table53" displayName="Table53" ref="G2:G41" totalsRowShown="0" headerRowDxfId="698" dataDxfId="696" headerRowBorderDxfId="697" tableBorderDxfId="695" totalsRowBorderDxfId="694">
  <autoFilter ref="G2:G41" xr:uid="{38CB6581-30B7-4B5A-A0C5-11C22E10982E}"/>
  <tableColumns count="1">
    <tableColumn id="1" xr3:uid="{617E7492-5055-4BDD-8EC2-D1B133DEB122}" name="IQ.40" dataDxfId="693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627EC23-758D-4D7D-B815-CF535EBB4F21}" name="Table54" displayName="Table54" ref="H2:H42" totalsRowShown="0" headerRowDxfId="692" dataDxfId="690" headerRowBorderDxfId="691" tableBorderDxfId="689" totalsRowBorderDxfId="688">
  <autoFilter ref="H2:H42" xr:uid="{5627EC23-758D-4D7D-B815-CF535EBB4F21}"/>
  <tableColumns count="1">
    <tableColumn id="1" xr3:uid="{F7F7AE4C-2C05-49FE-A1BB-5A49B2174A5D}" name="IQ.70" dataDxfId="687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1776009F-DA75-4299-83D8-B2D3B0CD5910}" name="Table55" displayName="Table55" ref="I2:I43" totalsRowShown="0" headerRowDxfId="686" dataDxfId="684" headerRowBorderDxfId="685" tableBorderDxfId="683">
  <autoFilter ref="I2:I43" xr:uid="{1776009F-DA75-4299-83D8-B2D3B0CD5910}"/>
  <tableColumns count="1">
    <tableColumn id="1" xr3:uid="{80D9CD6B-17F0-4EE8-A2BA-753801F09C48}" name="IQ.90" dataDxfId="682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1F134B4C-EABC-4452-863F-91DDCDC6A60F}" name="Table56" displayName="Table56" ref="J2:J31" totalsRowShown="0" headerRowDxfId="681" dataDxfId="679" headerRowBorderDxfId="680" tableBorderDxfId="678" totalsRowBorderDxfId="677">
  <autoFilter ref="J2:J31" xr:uid="{1F134B4C-EABC-4452-863F-91DDCDC6A60F}"/>
  <tableColumns count="1">
    <tableColumn id="1" xr3:uid="{57F62D5B-8280-4F08-9956-1E4567F6F488}" name="IQ.91" dataDxfId="676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A8777EE9-9B0E-4A9B-971F-AE5DC5139FB6}" name="Table57" displayName="Table57" ref="K2:K29" totalsRowShown="0" headerRowDxfId="675" dataDxfId="673" headerRowBorderDxfId="674" tableBorderDxfId="672" totalsRowBorderDxfId="671">
  <autoFilter ref="K2:K29" xr:uid="{A8777EE9-9B0E-4A9B-971F-AE5DC5139FB6}"/>
  <tableColumns count="1">
    <tableColumn id="1" xr3:uid="{1A5AFF16-E27A-40FA-B49C-7436FDC505B9}" name="IQ.95" dataDxfId="67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4BEBC83-8C4D-4C7C-AF1E-E06912C4C53A}" name="Table58" displayName="Table58" ref="L2:L34" totalsRowShown="0" headerRowDxfId="669" dataDxfId="667" headerRowBorderDxfId="668" tableBorderDxfId="666" totalsRowBorderDxfId="665">
  <autoFilter ref="L2:L34" xr:uid="{04BEBC83-8C4D-4C7C-AF1E-E06912C4C53A}"/>
  <tableColumns count="1">
    <tableColumn id="1" xr3:uid="{746AA8B5-B81A-4F97-AC12-8829FC2E3FDB}" name="IQM.10" dataDxfId="664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2A1EB78-1EE5-4DCA-924A-78744961BE29}" name="Table49" displayName="Table49" ref="M2:M34" totalsRowShown="0" headerRowDxfId="663" dataDxfId="662" tableBorderDxfId="661">
  <autoFilter ref="M2:M34" xr:uid="{F2A1EB78-1EE5-4DCA-924A-78744961BE29}"/>
  <tableColumns count="1">
    <tableColumn id="1" xr3:uid="{30B9F364-CA6A-4A07-BA55-09D1FC77BED0}" name="IQM.12" dataDxfId="66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9AA4C386-4329-48AC-8BA4-E989514807A5}" name="Table61" displayName="Table61" ref="N2:N40" totalsRowShown="0" headerRowDxfId="659" tableBorderDxfId="658">
  <autoFilter ref="N2:N40" xr:uid="{9AA4C386-4329-48AC-8BA4-E989514807A5}"/>
  <tableColumns count="1">
    <tableColumn id="1" xr3:uid="{0DCA3FF5-7D9B-4B89-9B91-0D5D0D42AD73}" name="IQM.2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031B9FD-9B4A-4034-8549-AFE22457CEC4}" name="Table69" displayName="Table69" ref="O2:O40" totalsRowShown="0" headerRowDxfId="657" dataDxfId="656" tableBorderDxfId="655">
  <autoFilter ref="O2:O40" xr:uid="{E031B9FD-9B4A-4034-8549-AFE22457CEC4}"/>
  <tableColumns count="1">
    <tableColumn id="1" xr3:uid="{32AA80B7-6B93-48DE-ADD3-BB3342F757A6}" name="IQM.25" dataDxfId="654"/>
  </tableColumns>
  <tableStyleInfo name="TableStyleLight16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C9831B6-AE97-439A-97DF-0E8EC3E9CC69}" name="Table103" displayName="Table103" ref="P2:P38" totalsRowShown="0" headerRowDxfId="653" tableBorderDxfId="652">
  <autoFilter ref="P2:P38" xr:uid="{5C9831B6-AE97-439A-97DF-0E8EC3E9CC69}"/>
  <tableColumns count="1">
    <tableColumn id="1" xr3:uid="{42737C0F-B750-4815-A310-382A4B0CCF84}" name="IQM.35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48850F92-81A1-4460-83B7-5E4B4BD083F0}" name="Table104" displayName="Table104" ref="Q2:Q30" totalsRowShown="0" headerRowDxfId="651" tableBorderDxfId="650">
  <autoFilter ref="Q2:Q30" xr:uid="{48850F92-81A1-4460-83B7-5E4B4BD083F0}"/>
  <tableColumns count="1">
    <tableColumn id="1" xr3:uid="{ABB27577-4F6E-4311-863B-83D72E948B78}" name="IQML.1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D0EFC523-890E-4A44-8048-109EE81719EE}" name="Table105" displayName="Table105" ref="R2:R30" totalsRowShown="0" headerRowDxfId="649" tableBorderDxfId="648">
  <autoFilter ref="R2:R30" xr:uid="{D0EFC523-890E-4A44-8048-109EE81719EE}"/>
  <tableColumns count="1">
    <tableColumn id="1" xr3:uid="{3C177A3F-9156-419C-B0B2-95E849304F6A}" name="IQML.12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DA1131A4-4C86-4386-B133-3C9D40FF6269}" name="Table106" displayName="Table106" ref="S2:S35" totalsRowShown="0" headerRowDxfId="647" tableBorderDxfId="646">
  <autoFilter ref="S2:S35" xr:uid="{DA1131A4-4C86-4386-B133-3C9D40FF6269}"/>
  <tableColumns count="1">
    <tableColumn id="1" xr3:uid="{93834E87-E560-4E80-87F2-2D2D952401C6}" name="IQML.20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DA3A1DBD-5B6E-46C9-AF6D-A38750A47174}" name="Table107" displayName="Table107" ref="T2:T35" totalsRowShown="0" headerRowDxfId="645" tableBorderDxfId="644">
  <autoFilter ref="T2:T35" xr:uid="{DA3A1DBD-5B6E-46C9-AF6D-A38750A47174}"/>
  <tableColumns count="1">
    <tableColumn id="1" xr3:uid="{B787E509-5FFE-48E6-BBD3-726BA00CACEF}" name="IQML.25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29C9CB1D-D467-4DDE-97C2-53B685260ED9}" name="Table108" displayName="Table108" ref="U2:U38" totalsRowShown="0" headerRowDxfId="643" tableBorderDxfId="642">
  <autoFilter ref="U2:U38" xr:uid="{29C9CB1D-D467-4DDE-97C2-53B685260ED9}"/>
  <tableColumns count="1">
    <tableColumn id="1" xr3:uid="{2DF382CB-2DF1-4B89-B21A-C37CD5BBCEBA}" name="IQS.12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49EFACFC-894C-4719-94F2-264538D9B782}" name="Table109" displayName="Table109" ref="V2:V44" totalsRowShown="0" headerRowDxfId="641" tableBorderDxfId="640">
  <autoFilter ref="V2:V44" xr:uid="{49EFACFC-894C-4719-94F2-264538D9B782}"/>
  <tableColumns count="1">
    <tableColumn id="1" xr3:uid="{3B845A29-CA3B-4238-824D-F2D47FA1F9E8}" name="IQS.20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8CA5C8AB-4280-4D12-ABBB-817EC57F2418}" name="Table110" displayName="Table110" ref="W2:W42" totalsRowShown="0" headerRowDxfId="639" tableBorderDxfId="638">
  <autoFilter ref="W2:W42" xr:uid="{8CA5C8AB-4280-4D12-ABBB-817EC57F2418}"/>
  <tableColumns count="1">
    <tableColumn id="1" xr3:uid="{D00D7293-E3FA-47A8-9EA7-43B364C8C461}" name="IQS.35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8C3B694A-6B1A-4AB8-922B-EAF09076CFA3}" name="Table111" displayName="Table111" ref="X2:X30" totalsRowShown="0" headerRowDxfId="637" tableBorderDxfId="636">
  <autoFilter ref="X2:X30" xr:uid="{8C3B694A-6B1A-4AB8-922B-EAF09076CFA3}"/>
  <tableColumns count="1">
    <tableColumn id="1" xr3:uid="{72C2E30F-7678-4C63-BC70-DF2235E2B76A}" name="IQD.1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A9CDAC16-24F9-4456-8584-E6691475E28B}" name="Table112" displayName="Table112" ref="Y2:Y30" totalsRowShown="0" headerRowDxfId="635" tableBorderDxfId="634">
  <autoFilter ref="Y2:Y30" xr:uid="{A9CDAC16-24F9-4456-8584-E6691475E28B}"/>
  <tableColumns count="1">
    <tableColumn id="1" xr3:uid="{CAC4E855-A1EA-4515-8C21-5DF24980BEC6}" name="IQD.12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10F3DC99-E188-41C6-8879-C0653003039D}" name="Table113" displayName="Table113" ref="Z2:Z27" totalsRowShown="0" headerRowDxfId="633" tableBorderDxfId="632">
  <autoFilter ref="Z2:Z27" xr:uid="{10F3DC99-E188-41C6-8879-C0653003039D}"/>
  <tableColumns count="1">
    <tableColumn id="1" xr3:uid="{769D83A7-35EB-46EF-A091-1E7922CEAA20}" name="IQD.1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66609B8B-06BF-49F5-AFD6-136CF24A95DD}" name="Table114" displayName="Table114" ref="AB2:AB34" totalsRowShown="0" headerRowDxfId="631" tableBorderDxfId="630">
  <autoFilter ref="AB2:AB34" xr:uid="{66609B8B-06BF-49F5-AFD6-136CF24A95DD}"/>
  <tableColumns count="1">
    <tableColumn id="1" xr3:uid="{7FC17D5E-33D7-4EAE-A09A-0D23E9787612}" name="IQD.25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F93BDFAC-5E0F-4F06-8418-DF10D6EE9EF9}" name="Table115" displayName="Table115" ref="AA2:AA34" totalsRowShown="0" headerRowDxfId="629" tableBorderDxfId="628">
  <autoFilter ref="AA2:AA34" xr:uid="{F93BDFAC-5E0F-4F06-8418-DF10D6EE9EF9}"/>
  <tableColumns count="1">
    <tableColumn id="1" xr3:uid="{4FF29DC5-28A0-482E-B668-22A8B331AFA2}" name="IQD.20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EFBCEA5-C582-4CCF-8869-56BDA31C629E}" name="Table116" displayName="Table116" ref="AC2:AC30" totalsRowShown="0" headerRowDxfId="627" tableBorderDxfId="626">
  <autoFilter ref="AC2:AC30" xr:uid="{9EFBCEA5-C582-4CCF-8869-56BDA31C629E}"/>
  <tableColumns count="1">
    <tableColumn id="1" xr3:uid="{EB80B3C1-4F34-4414-AA8F-C7A1C6594900}" name="IQL.10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963DBE08-0960-493B-8FBA-AB664A5254BE}" name="Table117" displayName="Table117" ref="AD2:AD30" totalsRowShown="0" headerRowDxfId="625" tableBorderDxfId="624">
  <autoFilter ref="AD2:AD30" xr:uid="{963DBE08-0960-493B-8FBA-AB664A5254BE}"/>
  <tableColumns count="1">
    <tableColumn id="1" xr3:uid="{9095C343-B007-42A8-93B5-46FBEC8992DC}" name="IQL.12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7F15B5D4-AC71-4909-9C80-5D92769C3D22}" name="Table118" displayName="Table118" ref="AE2:AE35" totalsRowShown="0" headerRowDxfId="623" tableBorderDxfId="622">
  <autoFilter ref="AE2:AE35" xr:uid="{7F15B5D4-AC71-4909-9C80-5D92769C3D22}"/>
  <tableColumns count="1">
    <tableColumn id="1" xr3:uid="{FF7596D7-4ED7-4A3C-967C-EDBA658ACA5C}" name="IQL.2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1EC1DF16-8424-4FFE-AE2A-CEB9F5C70322}" name="Table119" displayName="Table119" ref="AF2:AF35" totalsRowShown="0" headerRowDxfId="621" tableBorderDxfId="620">
  <autoFilter ref="AF2:AF35" xr:uid="{1EC1DF16-8424-4FFE-AE2A-CEB9F5C70322}"/>
  <tableColumns count="1">
    <tableColumn id="1" xr3:uid="{43ACBADE-903A-4274-B60A-CC7635146D8A}" name="IQL.25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301BC37F-B416-4D06-869E-9B2D1FD0914A}" name="Table120" displayName="Table120" ref="AG2:AG24" totalsRowShown="0" headerRowDxfId="619" headerRowBorderDxfId="618" tableBorderDxfId="617" totalsRowBorderDxfId="616">
  <autoFilter ref="AG2:AG24" xr:uid="{301BC37F-B416-4D06-869E-9B2D1FD0914A}"/>
  <tableColumns count="1">
    <tableColumn id="1" xr3:uid="{22C16952-6B42-4790-ACC1-5C34D7DEF517}" name="IQT.125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6DAD77D3-4186-49D8-AB03-B0F3C3E6A0EF}" name="Table121" displayName="Table121" ref="AH2:AH24" totalsRowShown="0" headerRowDxfId="615" headerRowBorderDxfId="614" tableBorderDxfId="613" totalsRowBorderDxfId="612">
  <autoFilter ref="AH2:AH24" xr:uid="{6DAD77D3-4186-49D8-AB03-B0F3C3E6A0EF}"/>
  <tableColumns count="1">
    <tableColumn id="1" xr3:uid="{85BFE941-0742-4164-B9BD-0E2A86955994}" name="IQT.250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55C757D1-928F-4AD0-B8AE-6C31B5FB7222}" name="Table122" displayName="Table122" ref="AI2:AI24" totalsRowShown="0" headerRowDxfId="611" headerRowBorderDxfId="610" tableBorderDxfId="609" totalsRowBorderDxfId="608">
  <autoFilter ref="AI2:AI24" xr:uid="{55C757D1-928F-4AD0-B8AE-6C31B5FB7222}"/>
  <tableColumns count="1">
    <tableColumn id="1" xr3:uid="{3809E75D-F1ED-4576-91F1-6D378E6C735A}" name="IQT.500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4B9242A3-9E54-4CA1-85FE-B93C9A67753A}" name="Table123" displayName="Table123" ref="AJ2:AJ24" totalsRowShown="0" headerRowDxfId="607" dataDxfId="605" headerRowBorderDxfId="606" tableBorderDxfId="604" totalsRowBorderDxfId="603">
  <autoFilter ref="AJ2:AJ24" xr:uid="{4B9242A3-9E54-4CA1-85FE-B93C9A67753A}"/>
  <tableColumns count="1">
    <tableColumn id="1" xr3:uid="{189D8EF8-7300-45B4-9A8D-DFCF4E42E7EA}" name="IQT.1000" dataDxfId="602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C5D901DB-C7A1-400A-BC4C-29FF3844C4D3}" name="Table124" displayName="Table124" ref="AK2:AK24" totalsRowShown="0" headerRowDxfId="601" dataDxfId="599" headerRowBorderDxfId="600" tableBorderDxfId="598" totalsRowBorderDxfId="597">
  <autoFilter ref="AK2:AK24" xr:uid="{C5D901DB-C7A1-400A-BC4C-29FF3844C4D3}"/>
  <tableColumns count="1">
    <tableColumn id="1" xr3:uid="{A58B8A2F-ADE6-4B04-9C66-9874AFA7BE62}" name="IQT.2000" dataDxfId="596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5F39C9CA-0E9C-4B66-A67C-69BCDED5C26E}" name="Table125" displayName="Table125" ref="AL2:AL24" totalsRowShown="0" headerRowDxfId="595" headerRowBorderDxfId="594" tableBorderDxfId="593" totalsRowBorderDxfId="592">
  <autoFilter ref="AL2:AL24" xr:uid="{5F39C9CA-0E9C-4B66-A67C-69BCDED5C26E}"/>
  <tableColumns count="1">
    <tableColumn id="1" xr3:uid="{E86BC2E7-F84A-4C75-BDB7-14525539EB6A}" name="IQTM.125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5EFB4BD9-CC45-46E3-A0BD-A7A1F0FE46F0}" name="Table126" displayName="Table126" ref="AM2:AM24" totalsRowShown="0" headerRowDxfId="591" headerRowBorderDxfId="590" tableBorderDxfId="589" totalsRowBorderDxfId="588">
  <autoFilter ref="AM2:AM24" xr:uid="{5EFB4BD9-CC45-46E3-A0BD-A7A1F0FE46F0}"/>
  <tableColumns count="1">
    <tableColumn id="1" xr3:uid="{12F788D5-56FF-4A28-8254-61673A494B8F}" name="IQTM.250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4CAFB445-6D42-41F2-8A44-35CD87577109}" name="Table127" displayName="Table127" ref="AN2:AN24" totalsRowShown="0" headerRowDxfId="587" headerRowBorderDxfId="586" tableBorderDxfId="585" totalsRowBorderDxfId="584">
  <autoFilter ref="AN2:AN24" xr:uid="{4CAFB445-6D42-41F2-8A44-35CD87577109}"/>
  <tableColumns count="1">
    <tableColumn id="1" xr3:uid="{C60A390A-86BA-4E03-9688-8F229A9017B2}" name="IQTM.500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7144F4AF-5A87-4804-8C51-B7F321F09765}" name="Table128" displayName="Table128" ref="AO2:AO24" totalsRowShown="0" headerRowDxfId="583" dataDxfId="581" headerRowBorderDxfId="582" tableBorderDxfId="580" totalsRowBorderDxfId="579">
  <autoFilter ref="AO2:AO24" xr:uid="{7144F4AF-5A87-4804-8C51-B7F321F09765}"/>
  <tableColumns count="1">
    <tableColumn id="1" xr3:uid="{3ACD0349-A07E-475E-A823-3C1DF131275E}" name="IQTM.1000" dataDxfId="578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F61177C6-4DB9-4531-98E6-B9780FD6FC6E}" name="Table129" displayName="Table129" ref="AP2:AP24" totalsRowShown="0" headerRowDxfId="577" dataDxfId="575" headerRowBorderDxfId="576" tableBorderDxfId="574" totalsRowBorderDxfId="573">
  <autoFilter ref="AP2:AP24" xr:uid="{F61177C6-4DB9-4531-98E6-B9780FD6FC6E}"/>
  <tableColumns count="1">
    <tableColumn id="1" xr3:uid="{BBCDDC4F-39DD-4DD5-9891-7A68C17E2119}" name="IQTM.2000" dataDxfId="572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D4CBA195-FDC6-48F1-8B6E-B5BB8129A902}" name="Table130" displayName="Table130" ref="AQ2:AQ30" totalsRowShown="0" headerRowDxfId="571" headerRowBorderDxfId="570" tableBorderDxfId="569" totalsRowBorderDxfId="568">
  <autoFilter ref="AQ2:AQ30" xr:uid="{D4CBA195-FDC6-48F1-8B6E-B5BB8129A902}"/>
  <tableColumns count="1">
    <tableColumn id="1" xr3:uid="{3FBB8D9B-7A3D-402D-891E-902AC4BE03DE}" name="CVL.500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4BF226C6-4731-4107-AF58-776A10D5962D}" name="Table131" displayName="Table131" ref="AR2:AR30" totalsRowShown="0" headerRowDxfId="567" headerRowBorderDxfId="566" tableBorderDxfId="565" totalsRowBorderDxfId="564">
  <autoFilter ref="AR2:AR30" xr:uid="{4BF226C6-4731-4107-AF58-776A10D5962D}"/>
  <tableColumns count="1">
    <tableColumn id="1" xr3:uid="{0A356339-31EB-4753-9F0B-28CC493902DC}" name="CVL.1000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917B3E6-2D3D-4881-AC25-B2CF1C61CFA4}" name="Table132" displayName="Table132" ref="AS2:AS30" totalsRowShown="0" headerRowDxfId="563" headerRowBorderDxfId="562" tableBorderDxfId="561" totalsRowBorderDxfId="560">
  <autoFilter ref="AS2:AS30" xr:uid="{0917B3E6-2D3D-4881-AC25-B2CF1C61CFA4}"/>
  <tableColumns count="1">
    <tableColumn id="1" xr3:uid="{26BB5C18-E4A9-45BE-8FBE-E16C612852C9}" name="CVL.1500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66D9D815-0E27-4940-9BF4-21DAAE7C318D}" name="Table133" displayName="Table133" ref="AT2:AT30" totalsRowShown="0" headerRowDxfId="559" headerRowBorderDxfId="558" tableBorderDxfId="557" totalsRowBorderDxfId="556">
  <autoFilter ref="AT2:AT30" xr:uid="{66D9D815-0E27-4940-9BF4-21DAAE7C318D}"/>
  <tableColumns count="1">
    <tableColumn id="1" xr3:uid="{00550479-4BC0-4A08-9BF8-630E5DAFAA1B}" name="CVL.5000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EF956A85-141A-4A3B-A3B2-518A0A50C820}" name="Table134" displayName="Table134" ref="AU2:AU30" totalsRowShown="0" headerRowDxfId="555" headerRowBorderDxfId="554" tableBorderDxfId="553" totalsRowBorderDxfId="552">
  <autoFilter ref="AU2:AU30" xr:uid="{EF956A85-141A-4A3B-A3B2-518A0A50C820}"/>
  <tableColumns count="1">
    <tableColumn id="1" xr3:uid="{29946ECD-B330-45B1-9852-FA32922D9A34}" name="CVQ.1200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606D948B-3D53-4AF4-BCBD-6502C73DBD7C}" name="Table135" displayName="Table135" ref="AV2:AV30" totalsRowShown="0" headerRowDxfId="551" headerRowBorderDxfId="550" tableBorderDxfId="549" totalsRowBorderDxfId="548">
  <autoFilter ref="AV2:AV30" xr:uid="{606D948B-3D53-4AF4-BCBD-6502C73DBD7C}"/>
  <tableColumns count="1">
    <tableColumn id="1" xr3:uid="{A6DD3C4B-F776-462E-88A7-33B41F6A01C7}" name="CVQ.2400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A23C31B0-9B20-4163-A1FF-B21841E49A17}" name="Table136" displayName="Table136" ref="AW2:AW24" totalsRowShown="0" headerRowDxfId="547" headerRowBorderDxfId="546" tableBorderDxfId="545" totalsRowBorderDxfId="544">
  <autoFilter ref="AW2:AW24" xr:uid="{A23C31B0-9B20-4163-A1FF-B21841E49A17}"/>
  <tableColumns count="1">
    <tableColumn id="1" xr3:uid="{978B8D2B-D8AE-4E09-8119-07A7E909969A}" name="CML.100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ED40710-602B-492A-977E-63B9F86D77EA}" name="Table137" displayName="Table137" ref="AX2:AX24" totalsRowShown="0" headerRowDxfId="543" headerRowBorderDxfId="542" tableBorderDxfId="541" totalsRowBorderDxfId="540">
  <autoFilter ref="AX2:AX24" xr:uid="{0ED40710-602B-492A-977E-63B9F86D77EA}"/>
  <tableColumns count="1">
    <tableColumn id="1" xr3:uid="{B7C4664C-9612-4B93-AB2B-8CB80C1A3B2E}" name="CML.250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D1EC6A72-0A66-4DE3-B423-DC7E7034DC96}" name="Table138" displayName="Table138" ref="AY2:AY24" totalsRowShown="0" headerRowDxfId="539" headerRowBorderDxfId="538" tableBorderDxfId="537" totalsRowBorderDxfId="536">
  <autoFilter ref="AY2:AY24" xr:uid="{D1EC6A72-0A66-4DE3-B423-DC7E7034DC96}"/>
  <tableColumns count="1">
    <tableColumn id="1" xr3:uid="{901F9D88-954F-4241-A5EF-48ED879890AC}" name="CML.750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1F8307CA-DE57-410B-879B-3D952D62A18C}" name="Table139" displayName="Table139" ref="AZ2:AZ24" totalsRowShown="0" headerRowDxfId="535" headerRowBorderDxfId="534" tableBorderDxfId="533" totalsRowBorderDxfId="532">
  <autoFilter ref="AZ2:AZ24" xr:uid="{1F8307CA-DE57-410B-879B-3D952D62A18C}"/>
  <tableColumns count="1">
    <tableColumn id="1" xr3:uid="{A0D49292-45F6-43D6-8D9C-46AD448ECACD}" name="CML.1500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8DCA9C31-D211-4FE4-B4D3-61579F2B3795}" name="Table140" displayName="Table140" ref="BA2:BA24" totalsRowShown="0" headerRowDxfId="531" headerRowBorderDxfId="530" tableBorderDxfId="529" totalsRowBorderDxfId="528">
  <autoFilter ref="BA2:BA24" xr:uid="{8DCA9C31-D211-4FE4-B4D3-61579F2B3795}"/>
  <tableColumns count="1">
    <tableColumn id="1" xr3:uid="{03E7AEEB-677B-4705-B1F8-5D8E47652C37}" name="CML.3000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EB6B44DF-0A26-41B2-9A11-1C22FB1D47EF}" name="Table141" displayName="Table141" ref="BB2:BB24" totalsRowShown="0" headerRowDxfId="527" headerRowBorderDxfId="526" tableBorderDxfId="525" totalsRowBorderDxfId="524">
  <autoFilter ref="BB2:BB24" xr:uid="{EB6B44DF-0A26-41B2-9A11-1C22FB1D47EF}"/>
  <tableColumns count="1">
    <tableColumn id="1" xr3:uid="{8E862D3E-464B-4F2F-B396-C612C719E72A}" name="CMQ.250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CE43A8D5-6614-496E-A812-5A1AD0F9911F}" name="Table142" displayName="Table142" ref="BC2:BC24" totalsRowShown="0" headerRowDxfId="523" headerRowBorderDxfId="522" tableBorderDxfId="521" totalsRowBorderDxfId="520">
  <autoFilter ref="BC2:BC24" xr:uid="{CE43A8D5-6614-496E-A812-5A1AD0F9911F}"/>
  <tableColumns count="1">
    <tableColumn id="1" xr3:uid="{172749C1-39A2-4D03-92E7-A3F9AD5C6205}" name="CMQ.500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B0D16E21-C0E7-4FE0-876A-B57AD8EF48FB}" name="Table143" displayName="Table143" ref="BD2:BD24" totalsRowShown="0" headerRowDxfId="519" headerRowBorderDxfId="518" tableBorderDxfId="517" totalsRowBorderDxfId="516">
  <autoFilter ref="BD2:BD24" xr:uid="{B0D16E21-C0E7-4FE0-876A-B57AD8EF48FB}"/>
  <tableColumns count="1">
    <tableColumn id="1" xr3:uid="{4D3BCECA-F4A2-42F0-AADB-FDAF94F4C32A}" name="CMQ.100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3BA010F5-8EC8-42B3-A4B3-4A5B8910514D}" name="Table144" displayName="Table144" ref="BE2:BE24" totalsRowShown="0" headerRowDxfId="515" headerRowBorderDxfId="514" tableBorderDxfId="513" totalsRowBorderDxfId="512">
  <autoFilter ref="BE2:BE24" xr:uid="{3BA010F5-8EC8-42B3-A4B3-4A5B8910514D}"/>
  <tableColumns count="1">
    <tableColumn id="1" xr3:uid="{F79F9D2F-252F-44C5-B2BC-0DB5EB2100E3}" name="CMR.50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64FEA5DD-5F6E-4783-800E-1415A713240E}" name="Table145" displayName="Table145" ref="BF2:BF24" totalsRowShown="0" headerRowDxfId="511" headerRowBorderDxfId="510" tableBorderDxfId="509" totalsRowBorderDxfId="508">
  <autoFilter ref="BF2:BF24" xr:uid="{64FEA5DD-5F6E-4783-800E-1415A713240E}"/>
  <tableColumns count="1">
    <tableColumn id="1" xr3:uid="{0FEAC834-60BB-4DC7-8D99-92C151C86E1C}" name="CMR.89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233EE25C-9BAD-4C51-8179-A76221ABEE56}" name="Table146" displayName="Table146" ref="BG2:BG24" totalsRowShown="0" headerRowDxfId="507" headerRowBorderDxfId="506" tableBorderDxfId="505" totalsRowBorderDxfId="504">
  <autoFilter ref="BG2:BG24" xr:uid="{233EE25C-9BAD-4C51-8179-A76221ABEE56}"/>
  <tableColumns count="1">
    <tableColumn id="1" xr3:uid="{C73C6FC2-0CAE-422E-BB1D-D65F0708320C}" name="CMR.100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9D530A9-9DB1-4683-9039-60CCC5AECFB4}" name="Table147" displayName="Table147" ref="BH2:BH24" totalsRowShown="0" headerRowDxfId="503" headerRowBorderDxfId="502" tableBorderDxfId="501" totalsRowBorderDxfId="500">
  <autoFilter ref="BH2:BH24" xr:uid="{09D530A9-9DB1-4683-9039-60CCC5AECFB4}"/>
  <tableColumns count="1">
    <tableColumn id="1" xr3:uid="{B6804EB7-19B1-402E-A718-19C6EE7E3F37}" name="CMR.125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69A4A796-45FA-4A49-AFF8-5001B218D6A7}" name="Table148" displayName="Table148" ref="BI2:BI24" totalsRowShown="0" headerRowDxfId="499" headerRowBorderDxfId="498" tableBorderDxfId="497" totalsRowBorderDxfId="496">
  <autoFilter ref="BI2:BI24" xr:uid="{69A4A796-45FA-4A49-AFF8-5001B218D6A7}"/>
  <tableColumns count="1">
    <tableColumn id="1" xr3:uid="{C102ACC0-ED7F-406D-9C08-32ADC64F0970}" name="CMR.200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F0F2C345-7F2B-4ADE-B8F9-046AE53CB45A}" name="Table149" displayName="Table149" ref="BJ2:BJ24" totalsRowShown="0" headerRowDxfId="495" headerRowBorderDxfId="494" tableBorderDxfId="493" totalsRowBorderDxfId="492">
  <autoFilter ref="BJ2:BJ24" xr:uid="{F0F2C345-7F2B-4ADE-B8F9-046AE53CB45A}"/>
  <tableColumns count="1">
    <tableColumn id="1" xr3:uid="{AA92B0BA-96E4-40E4-B477-EAA92745FDD2}" name="CMR.250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46C5D569-C5F8-4B21-BF67-0A3DE30836AF}" name="Table150" displayName="Table150" ref="BK2:BK28" totalsRowShown="0" headerRowDxfId="491" dataDxfId="489" headerRowBorderDxfId="490" tableBorderDxfId="488" totalsRowBorderDxfId="487">
  <autoFilter ref="BK2:BK28" xr:uid="{46C5D569-C5F8-4B21-BF67-0A3DE30836AF}"/>
  <tableColumns count="1">
    <tableColumn id="1" xr3:uid="{771514DB-C5F7-4BA9-8E46-B0D65C988687}" name="K.30" dataDxfId="486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F0FEB21F-AF51-48D6-BFBB-F48928B36F06}" name="Table151" displayName="Table151" ref="BL2:BL28" totalsRowShown="0" headerRowDxfId="485" dataDxfId="483" headerRowBorderDxfId="484" tableBorderDxfId="482" totalsRowBorderDxfId="481">
  <autoFilter ref="BL2:BL28" xr:uid="{F0FEB21F-AF51-48D6-BFBB-F48928B36F06}"/>
  <tableColumns count="1">
    <tableColumn id="1" xr3:uid="{BF736F56-AD78-47AF-8BCE-7E4A2FD6A6C5}" name="K.60" dataDxfId="480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2AFF7781-F892-48B1-AE50-D8BCDAF8A3D3}" name="Table152" displayName="Table152" ref="BM2:BM28" totalsRowShown="0" headerRowDxfId="479" dataDxfId="477" headerRowBorderDxfId="478" tableBorderDxfId="476" totalsRowBorderDxfId="475">
  <autoFilter ref="BM2:BM28" xr:uid="{2AFF7781-F892-48B1-AE50-D8BCDAF8A3D3}"/>
  <tableColumns count="1">
    <tableColumn id="1" xr3:uid="{426F09D0-23C9-492B-ACCB-1AED048D1EC9}" name="K.150" dataDxfId="474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18842367-5209-4111-8176-765CD158CF00}" name="Table153" displayName="Table153" ref="BN2:BN29" totalsRowShown="0" headerRowDxfId="473" headerRowBorderDxfId="472" tableBorderDxfId="471" totalsRowBorderDxfId="470">
  <autoFilter ref="BN2:BN29" xr:uid="{18842367-5209-4111-8176-765CD158CF00}"/>
  <tableColumns count="1">
    <tableColumn id="1" xr3:uid="{D3A674FA-C0B3-4A45-A6C2-AB475D945FFF}" name="K.300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12091CDA-46A7-4C23-B79C-3B079D301F5A}" name="Table154" displayName="Table154" ref="BO2:BO14" totalsRowShown="0" headerRowDxfId="469" headerRowBorderDxfId="468" tableBorderDxfId="467" totalsRowBorderDxfId="466">
  <autoFilter ref="BO2:BO14" xr:uid="{12091CDA-46A7-4C23-B79C-3B079D301F5A}"/>
  <tableColumns count="1">
    <tableColumn id="1" xr3:uid="{0C34DF7F-7E37-4A3C-8AD1-3B3E5B102B3B}" name="K.500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595BAA0F-31F3-4037-8AE7-DA560F44EFB3}" name="Table155" displayName="Table155" ref="BP2:BP28" totalsRowShown="0" headerRowDxfId="465" headerRowBorderDxfId="464" tableBorderDxfId="463" totalsRowBorderDxfId="462">
  <autoFilter ref="BP2:BP28" xr:uid="{595BAA0F-31F3-4037-8AE7-DA560F44EFB3}"/>
  <tableColumns count="1">
    <tableColumn id="1" xr3:uid="{972364F7-DB15-45EE-9ADE-473D475BA056}" name="K.600"/>
  </tableColumns>
  <tableStyleInfo name="TableStyleMedium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7ADB4503-6946-4BD0-8475-E934C8345F1C}" name="Table156" displayName="Table156" ref="BQ2:BQ13" totalsRowShown="0" headerRowDxfId="461" headerRowBorderDxfId="460" tableBorderDxfId="459" totalsRowBorderDxfId="458">
  <autoFilter ref="BQ2:BQ13" xr:uid="{7ADB4503-6946-4BD0-8475-E934C8345F1C}"/>
  <tableColumns count="1">
    <tableColumn id="1" xr3:uid="{81F45976-F94F-43E0-B595-675C634CA4C4}" name="K.800"/>
  </tableColumns>
  <tableStyleInfo name="TableStyleMedium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FB8E9C06-09E8-4B9B-BF58-CDE8E2E83746}" name="Table157" displayName="Table157" ref="BR2:BR28" totalsRowShown="0" headerRowDxfId="457" headerRowBorderDxfId="456" tableBorderDxfId="455" totalsRowBorderDxfId="454">
  <autoFilter ref="BR2:BR28" xr:uid="{FB8E9C06-09E8-4B9B-BF58-CDE8E2E83746}"/>
  <tableColumns count="1">
    <tableColumn id="1" xr3:uid="{1F3E1B42-D759-4F0F-BB58-1D431F8A00CD}" name="K.1000"/>
  </tableColumns>
  <tableStyleInfo name="TableStyleMedium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5C309408-3787-48AF-8C34-429E9ED260A6}" name="Table158" displayName="Table158" ref="BS2:BS22" totalsRowShown="0" headerRowDxfId="453" dataDxfId="451" headerRowBorderDxfId="452" tableBorderDxfId="450" totalsRowBorderDxfId="449">
  <autoFilter ref="BS2:BS22" xr:uid="{5C309408-3787-48AF-8C34-429E9ED260A6}"/>
  <tableColumns count="1">
    <tableColumn id="1" xr3:uid="{0B34C71E-7F79-4E84-AFF2-4ED10E91455C}" name="KM.30" dataDxfId="448"/>
  </tableColumns>
  <tableStyleInfo name="TableStyleMedium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57436381-DF58-434F-A5EC-A661755624C7}" name="Table159" displayName="Table159" ref="BT2:BT22" totalsRowShown="0" headerRowDxfId="447" dataDxfId="445" headerRowBorderDxfId="446" tableBorderDxfId="444" totalsRowBorderDxfId="443">
  <autoFilter ref="BT2:BT22" xr:uid="{57436381-DF58-434F-A5EC-A661755624C7}"/>
  <tableColumns count="1">
    <tableColumn id="1" xr3:uid="{D0598F1F-3361-49CD-AD75-52B6464482BE}" name="KM.60" dataDxfId="442"/>
  </tableColumns>
  <tableStyleInfo name="TableStyleMedium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FEA8492C-249B-4F0C-A91E-F20EC1676DD6}" name="Table160" displayName="Table160" ref="BU2:BU20" totalsRowShown="0" headerRowDxfId="441" dataDxfId="439" headerRowBorderDxfId="440" tableBorderDxfId="438" totalsRowBorderDxfId="437">
  <autoFilter ref="BU2:BU20" xr:uid="{FEA8492C-249B-4F0C-A91E-F20EC1676DD6}"/>
  <tableColumns count="1">
    <tableColumn id="1" xr3:uid="{97894B06-EC1E-42C5-89E1-0DD1C7D008E2}" name="KM.150" dataDxfId="436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E616B044-DDC4-4B24-8412-8A77ED2E3E94}" name="Table161" displayName="Table161" ref="BV2:BV23" totalsRowShown="0" headerRowDxfId="435" headerRowBorderDxfId="434" tableBorderDxfId="433" totalsRowBorderDxfId="432">
  <autoFilter ref="BV2:BV23" xr:uid="{E616B044-DDC4-4B24-8412-8A77ED2E3E94}"/>
  <tableColumns count="1">
    <tableColumn id="1" xr3:uid="{33B78942-BF40-4B15-B90C-914B4FE84076}" name="KM.300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FB0316B3-2E1F-4A40-ADA9-9F0F8087FE84}" name="Table162" displayName="Table162" ref="BW2:BW19" totalsRowShown="0" headerRowDxfId="431" headerRowBorderDxfId="430" tableBorderDxfId="429" totalsRowBorderDxfId="428">
  <autoFilter ref="BW2:BW19" xr:uid="{FB0316B3-2E1F-4A40-ADA9-9F0F8087FE84}"/>
  <tableColumns count="1">
    <tableColumn id="1" xr3:uid="{F945EBDE-2530-45EF-A88B-6ACE258C1529}" name="KML.30"/>
  </tableColumns>
  <tableStyleInfo name="TableStyleMedium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8CAEF6F-42C4-4D25-B810-79E36672C6A0}" name="Table163" displayName="Table163" ref="BX2:BX19" totalsRowShown="0" headerRowDxfId="427" headerRowBorderDxfId="426" tableBorderDxfId="425" totalsRowBorderDxfId="424">
  <autoFilter ref="BX2:BX19" xr:uid="{08CAEF6F-42C4-4D25-B810-79E36672C6A0}"/>
  <tableColumns count="1">
    <tableColumn id="1" xr3:uid="{BD2CE28B-CF79-4544-A90D-FD72B910B80C}" name="KML.60"/>
  </tableColumns>
  <tableStyleInfo name="TableStyleMedium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20AFB008-5981-4156-9B53-8B48E8AF8A0C}" name="Table164" displayName="Table164" ref="BY2:BY17" totalsRowShown="0" headerRowDxfId="423" headerRowBorderDxfId="422" tableBorderDxfId="421" totalsRowBorderDxfId="420">
  <autoFilter ref="BY2:BY17" xr:uid="{20AFB008-5981-4156-9B53-8B48E8AF8A0C}"/>
  <tableColumns count="1">
    <tableColumn id="1" xr3:uid="{B20ECDC6-8D4A-45F5-9176-2296719F8FF9}" name="KML.150"/>
  </tableColumns>
  <tableStyleInfo name="TableStyleMedium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EEB959B3-58E5-42CC-912F-1742C4498F91}" name="Table165" displayName="Table165" ref="BZ2:BZ21" totalsRowShown="0" headerRowDxfId="419" headerRowBorderDxfId="418" tableBorderDxfId="417" totalsRowBorderDxfId="416">
  <autoFilter ref="BZ2:BZ21" xr:uid="{EEB959B3-58E5-42CC-912F-1742C4498F91}"/>
  <tableColumns count="1">
    <tableColumn id="1" xr3:uid="{E928157E-2DCE-4DDD-ACD0-D1C8F2EFAE22}" name="KML.300"/>
  </tableColumns>
  <tableStyleInfo name="TableStyleMedium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46319089-1363-4D4E-8415-0E39B1092C2A}" name="Table166" displayName="Table166" ref="CA2:CA19" totalsRowShown="0" headerRowDxfId="415" headerRowBorderDxfId="414" tableBorderDxfId="413" totalsRowBorderDxfId="412">
  <autoFilter ref="CA2:CA19" xr:uid="{46319089-1363-4D4E-8415-0E39B1092C2A}"/>
  <tableColumns count="1">
    <tableColumn id="1" xr3:uid="{816293D6-6442-4618-A9BC-3DF76288E753}" name="KL.30"/>
  </tableColumns>
  <tableStyleInfo name="TableStyleMedium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C4B385E-7364-4EA2-AEDD-C6EF4528B5F3}" name="Table167" displayName="Table167" ref="CB2:CB19" totalsRowShown="0" headerRowDxfId="411" headerRowBorderDxfId="410" tableBorderDxfId="409" totalsRowBorderDxfId="408">
  <autoFilter ref="CB2:CB19" xr:uid="{DC4B385E-7364-4EA2-AEDD-C6EF4528B5F3}"/>
  <tableColumns count="1">
    <tableColumn id="1" xr3:uid="{D4170655-A8C9-48B8-A21D-BA4140E08C93}" name="KL.60"/>
  </tableColumns>
  <tableStyleInfo name="TableStyleMedium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92BD9442-6B36-4060-95CC-37239C3F6D39}" name="Table168" displayName="Table168" ref="CC2:CC17" totalsRowShown="0" headerRowDxfId="407" headerRowBorderDxfId="406" tableBorderDxfId="405" totalsRowBorderDxfId="404">
  <autoFilter ref="CC2:CC17" xr:uid="{92BD9442-6B36-4060-95CC-37239C3F6D39}"/>
  <tableColumns count="1">
    <tableColumn id="1" xr3:uid="{859ABF02-0DAB-4827-81FC-44AA366C9B63}" name="KL.150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3CF2D255-79CF-484F-8C6B-2C7981C0F645}" name="Table169" displayName="Table169" ref="CD2:CD21" totalsRowShown="0" headerRowDxfId="403" headerRowBorderDxfId="402" tableBorderDxfId="401" totalsRowBorderDxfId="400">
  <autoFilter ref="CD2:CD21" xr:uid="{3CF2D255-79CF-484F-8C6B-2C7981C0F645}"/>
  <tableColumns count="1">
    <tableColumn id="1" xr3:uid="{86683827-E5BB-4206-A606-5502BF6453F3}" name="KL.300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F9BBD2A2-1CBD-49B8-BBDF-1FC754405D43}" name="Table171" displayName="Table171" ref="CE2:CE16" totalsRowShown="0" headerRowDxfId="399" headerRowBorderDxfId="398" tableBorderDxfId="397" totalsRowBorderDxfId="396">
  <autoFilter ref="CE2:CE16" xr:uid="{F9BBD2A2-1CBD-49B8-BBDF-1FC754405D43}"/>
  <tableColumns count="1">
    <tableColumn id="1" xr3:uid="{8614ADC9-0F1F-471F-995D-9912358FE485}" name="Q.100"/>
  </tableColumns>
  <tableStyleInfo name="TableStyleMedium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373384A1-4E88-4B96-844A-98954B1F7F4C}" name="Table172" displayName="Table172" ref="CF2:CF16" totalsRowShown="0" headerRowDxfId="395" headerRowBorderDxfId="394" tableBorderDxfId="393" totalsRowBorderDxfId="392">
  <autoFilter ref="CF2:CF16" xr:uid="{373384A1-4E88-4B96-844A-98954B1F7F4C}"/>
  <tableColumns count="1">
    <tableColumn id="1" xr3:uid="{C768B85B-FA31-440E-8920-73FDD0542752}" name="Q.300"/>
  </tableColumns>
  <tableStyleInfo name="TableStyleMedium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BF440689-E4EA-47D1-A28D-106E297B78AA}" name="Table173" displayName="Table173" ref="CG2:CG16" totalsRowShown="0" headerRowDxfId="391" headerRowBorderDxfId="390" tableBorderDxfId="389" totalsRowBorderDxfId="388">
  <autoFilter ref="CG2:CG16" xr:uid="{BF440689-E4EA-47D1-A28D-106E297B78AA}"/>
  <tableColumns count="1">
    <tableColumn id="1" xr3:uid="{7631DC55-3059-41FE-AA77-DEF3BD14D342}" name="Q.450"/>
  </tableColumns>
  <tableStyleInfo name="TableStyleMedium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87D226CE-EEBF-409C-BCBE-41E871D65EE5}" name="Table174" displayName="Table174" ref="CH2:CH16" totalsRowShown="0" headerRowDxfId="387" headerRowBorderDxfId="386" tableBorderDxfId="385" totalsRowBorderDxfId="384">
  <autoFilter ref="CH2:CH16" xr:uid="{87D226CE-EEBF-409C-BCBE-41E871D65EE5}"/>
  <tableColumns count="1">
    <tableColumn id="1" xr3:uid="{0EE6725D-D60D-4080-AC31-AB9A470BB52B}" name="Q.650"/>
  </tableColumns>
  <tableStyleInfo name="TableStyleMedium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9D28876A-0DC7-4F61-BAB8-C39EF9A4F231}" name="Table175" displayName="Table175" ref="CI2:CI45" totalsRowShown="0" headerRowDxfId="383" headerRowBorderDxfId="382" tableBorderDxfId="381" totalsRowBorderDxfId="380">
  <autoFilter ref="CI2:CI45" xr:uid="{9D28876A-0DC7-4F61-BAB8-C39EF9A4F231}"/>
  <tableColumns count="1">
    <tableColumn id="1" xr3:uid="{99E3A86B-951C-482E-9361-64F51BC0DFE1}" name="IQ_10"/>
  </tableColumns>
  <tableStyleInfo name="TableStyleMedium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3013C7DB-1F64-421E-93E5-170B3D0665C6}" name="Table176" displayName="Table176" ref="CJ2:CJ45" totalsRowShown="0" headerRowDxfId="379" headerRowBorderDxfId="378" tableBorderDxfId="377" totalsRowBorderDxfId="376">
  <autoFilter ref="CJ2:CJ45" xr:uid="{3013C7DB-1F64-421E-93E5-170B3D0665C6}"/>
  <tableColumns count="1">
    <tableColumn id="1" xr3:uid="{C9FB1A72-0E95-4B38-861D-AA22B8137E77}" name="IQ_12"/>
  </tableColumns>
  <tableStyleInfo name="TableStyleMedium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78D24FF4-FE86-4CB8-A028-D6C0B5792FD4}" name="Table177" displayName="Table177" ref="CK2:CK49" totalsRowShown="0" headerRowDxfId="375" headerRowBorderDxfId="374" tableBorderDxfId="373" totalsRowBorderDxfId="372">
  <autoFilter ref="CK2:CK49" xr:uid="{78D24FF4-FE86-4CB8-A028-D6C0B5792FD4}"/>
  <tableColumns count="1">
    <tableColumn id="1" xr3:uid="{5D91505B-6DBD-4DB5-A4F6-16D56AA088F4}" name="IQ_18"/>
  </tableColumns>
  <tableStyleInfo name="TableStyleMedium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2A8E797D-8774-49EA-BD43-96F645B6F9CB}" name="Table178" displayName="Table178" ref="CL2:CL43" totalsRowShown="0" headerRowDxfId="371" headerRowBorderDxfId="370" tableBorderDxfId="369" totalsRowBorderDxfId="368">
  <autoFilter ref="CL2:CL43" xr:uid="{2A8E797D-8774-49EA-BD43-96F645B6F9CB}"/>
  <tableColumns count="1">
    <tableColumn id="1" xr3:uid="{26D402A4-1E48-4298-9A03-DFA503DAF459}" name="IQ_19"/>
  </tableColumns>
  <tableStyleInfo name="TableStyleMedium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B8D1CF30-3D93-42AD-8D68-0AF72BA81FCF}" name="Table179" displayName="Table179" ref="CM2:CM47" totalsRowShown="0" headerRowDxfId="367" headerRowBorderDxfId="366" tableBorderDxfId="365" totalsRowBorderDxfId="364">
  <autoFilter ref="CM2:CM47" xr:uid="{B8D1CF30-3D93-42AD-8D68-0AF72BA81FCF}"/>
  <tableColumns count="1">
    <tableColumn id="1" xr3:uid="{366D0D65-E900-4CC7-8536-DCCF148B94CE}" name="IQ_20"/>
  </tableColumns>
  <tableStyleInfo name="TableStyleMedium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C2E06498-6E11-41DB-849C-9EB536742074}" name="Table180" displayName="Table180" ref="CN2:CN49" totalsRowShown="0" headerRowDxfId="363" headerRowBorderDxfId="362" tableBorderDxfId="361" totalsRowBorderDxfId="360">
  <autoFilter ref="CN2:CN49" xr:uid="{C2E06498-6E11-41DB-849C-9EB536742074}"/>
  <tableColumns count="1">
    <tableColumn id="1" xr3:uid="{96145817-0733-46B3-9101-67506EAA8AD2}" name="IQ_25"/>
  </tableColumns>
  <tableStyleInfo name="TableStyleMedium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B32B88C7-88FC-4AFC-9923-ACFCB747554E}" name="Table181" displayName="Table181" ref="CO2:CO48" totalsRowShown="0" headerRowDxfId="359" headerRowBorderDxfId="358" tableBorderDxfId="357" totalsRowBorderDxfId="356">
  <autoFilter ref="CO2:CO48" xr:uid="{B32B88C7-88FC-4AFC-9923-ACFCB747554E}"/>
  <tableColumns count="1">
    <tableColumn id="1" xr3:uid="{B1B67F49-1A9E-46F5-BA9A-94AA968C8EC4}" name="IQ_35"/>
  </tableColumns>
  <tableStyleInfo name="TableStyleMedium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81530FFF-9B04-4BA5-A5AF-0E3A82F3B6DC}" name="Table182" displayName="Table182" ref="CP2:CP47" totalsRowShown="0" headerRowDxfId="355" headerRowBorderDxfId="354" tableBorderDxfId="353" totalsRowBorderDxfId="352">
  <autoFilter ref="CP2:CP47" xr:uid="{81530FFF-9B04-4BA5-A5AF-0E3A82F3B6DC}"/>
  <tableColumns count="1">
    <tableColumn id="1" xr3:uid="{CE7DDAAC-6E90-4663-82B8-5EC72222C55E}" name="IQ_40"/>
  </tableColumns>
  <tableStyleInfo name="TableStyleMedium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FA9A2FA9-FD69-4BB2-BE9D-5F261021809D}" name="Table183" displayName="Table183" ref="CQ2:CQ51" totalsRowShown="0" headerRowDxfId="351" dataDxfId="349" headerRowBorderDxfId="350" tableBorderDxfId="348" totalsRowBorderDxfId="347">
  <autoFilter ref="CQ2:CQ51" xr:uid="{FA9A2FA9-FD69-4BB2-BE9D-5F261021809D}"/>
  <tableColumns count="1">
    <tableColumn id="1" xr3:uid="{E9CABFB1-748E-40B7-8FB7-8733C19F978D}" name="IQ_70" dataDxfId="346"/>
  </tableColumns>
  <tableStyleInfo name="TableStyleMedium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38B4DE9D-3B47-49D5-BCDF-1B85FAD2D44B}" name="Table184" displayName="Table184" ref="CR2:CR51" totalsRowShown="0" headerRowDxfId="345" dataDxfId="343" headerRowBorderDxfId="344" tableBorderDxfId="342" totalsRowBorderDxfId="341">
  <autoFilter ref="CR2:CR51" xr:uid="{38B4DE9D-3B47-49D5-BCDF-1B85FAD2D44B}"/>
  <tableColumns count="1">
    <tableColumn id="1" xr3:uid="{131451BA-B9AE-47DB-9AFC-832F727DD2C4}" name="IQ_90" dataDxfId="340"/>
  </tableColumns>
  <tableStyleInfo name="TableStyleMedium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740390FC-E12B-4978-B2A2-769027C72602}" name="Table185" displayName="Table185" ref="CS2:CS39" totalsRowShown="0" headerRowDxfId="339" dataDxfId="337" headerRowBorderDxfId="338" tableBorderDxfId="336" totalsRowBorderDxfId="335">
  <autoFilter ref="CS2:CS39" xr:uid="{740390FC-E12B-4978-B2A2-769027C72602}"/>
  <tableColumns count="1">
    <tableColumn id="1" xr3:uid="{1A56935C-CAD0-4690-B7CB-CE325E6A131E}" name="IQ_91" dataDxfId="334"/>
  </tableColumns>
  <tableStyleInfo name="TableStyleMedium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D6875AE6-E77E-481E-9D34-F69EF573D639}" name="Table186" displayName="Table186" ref="CT2:CT37" totalsRowShown="0" headerRowDxfId="333" dataDxfId="331" headerRowBorderDxfId="332" tableBorderDxfId="330" totalsRowBorderDxfId="329">
  <autoFilter ref="CT2:CT37" xr:uid="{D6875AE6-E77E-481E-9D34-F69EF573D639}"/>
  <tableColumns count="1">
    <tableColumn id="1" xr3:uid="{19E8670C-E277-4C4E-8DC7-AFECCD92771E}" name="IQ_95" dataDxfId="328"/>
  </tableColumns>
  <tableStyleInfo name="TableStyleMedium2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91B2EF5C-81BC-436D-B198-859FB837CC6A}" name="Table187" displayName="Table187" ref="CU2:CU41" totalsRowShown="0" headerRowDxfId="327" headerRowBorderDxfId="326" tableBorderDxfId="325" totalsRowBorderDxfId="324">
  <autoFilter ref="CU2:CU41" xr:uid="{91B2EF5C-81BC-436D-B198-859FB837CC6A}"/>
  <tableColumns count="1">
    <tableColumn id="1" xr3:uid="{5485EE67-E907-40A3-A18E-872401AE416F}" name="IQM_10"/>
  </tableColumns>
  <tableStyleInfo name="TableStyleMedium2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4C9A5A6B-D355-4628-991E-1FFED6CD94F2}" name="Table188" displayName="Table188" ref="CV2:CV41" totalsRowShown="0" headerRowDxfId="323" headerRowBorderDxfId="322" tableBorderDxfId="321" totalsRowBorderDxfId="320">
  <autoFilter ref="CV2:CV41" xr:uid="{4C9A5A6B-D355-4628-991E-1FFED6CD94F2}"/>
  <tableColumns count="1">
    <tableColumn id="1" xr3:uid="{72401CB5-1D87-438E-A4D9-254672B9954C}" name="IQM_12"/>
  </tableColumns>
  <tableStyleInfo name="TableStyleMedium2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391FC7E2-D9AF-4D10-A949-36C0B8315B0E}" name="Table189" displayName="Table189" ref="CW2:CW43" totalsRowShown="0" headerRowDxfId="319" headerRowBorderDxfId="318" tableBorderDxfId="317" totalsRowBorderDxfId="316">
  <autoFilter ref="CW2:CW43" xr:uid="{391FC7E2-D9AF-4D10-A949-36C0B8315B0E}"/>
  <tableColumns count="1">
    <tableColumn id="1" xr3:uid="{B4CB40F2-0EF8-4D29-8C97-A7AF07A6A6B0}" name="IQM_20"/>
  </tableColumns>
  <tableStyleInfo name="TableStyleMedium2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F7F01E6F-FAAB-4262-A867-4E3D06D51ECD}" name="Table190" displayName="Table190" ref="CX2:CX43" totalsRowShown="0" headerRowDxfId="315" headerRowBorderDxfId="314" tableBorderDxfId="313" totalsRowBorderDxfId="312">
  <autoFilter ref="CX2:CX43" xr:uid="{F7F01E6F-FAAB-4262-A867-4E3D06D51ECD}"/>
  <tableColumns count="1">
    <tableColumn id="1" xr3:uid="{E2C05E8F-EF5B-43AD-93B1-841CFB01BAB7}" name="IQM_25"/>
  </tableColumns>
  <tableStyleInfo name="TableStyleMedium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B44B9636-09F9-46FE-A5BA-47CB2C7B811C}" name="Table191" displayName="Table191" ref="CY2:CY42" totalsRowShown="0" headerRowDxfId="311" headerRowBorderDxfId="310" tableBorderDxfId="309" totalsRowBorderDxfId="308">
  <autoFilter ref="CY2:CY42" xr:uid="{B44B9636-09F9-46FE-A5BA-47CB2C7B811C}"/>
  <tableColumns count="1">
    <tableColumn id="1" xr3:uid="{F05284D7-5814-4DBC-A9CB-1F5F6025E736}" name="IQM_35"/>
  </tableColumns>
  <tableStyleInfo name="TableStyleMedium2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C6854C4F-95FE-4D3A-A59A-CEE1B95F0CD6}" name="Table192" displayName="Table192" ref="CZ2:CZ37" totalsRowShown="0" headerRowDxfId="307" headerRowBorderDxfId="306" tableBorderDxfId="305" totalsRowBorderDxfId="304">
  <autoFilter ref="CZ2:CZ37" xr:uid="{C6854C4F-95FE-4D3A-A59A-CEE1B95F0CD6}"/>
  <tableColumns count="1">
    <tableColumn id="1" xr3:uid="{281A07C3-4113-4C33-9ABB-B5E72E712EF5}" name="IQML_10"/>
  </tableColumns>
  <tableStyleInfo name="TableStyleMedium2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26F7F4C4-1EE0-4195-9511-C87FEB6559D0}" name="Table193" displayName="Table193" ref="DA2:DA37" totalsRowShown="0" headerRowDxfId="303" headerRowBorderDxfId="302" tableBorderDxfId="301" totalsRowBorderDxfId="300">
  <autoFilter ref="DA2:DA37" xr:uid="{26F7F4C4-1EE0-4195-9511-C87FEB6559D0}"/>
  <tableColumns count="1">
    <tableColumn id="1" xr3:uid="{E6627051-2B18-4F56-9C80-6B4D9CC02102}" name="IQML_12"/>
  </tableColumns>
  <tableStyleInfo name="TableStyleMedium2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529D90C1-2F82-4D52-9CB7-0FEC9CB9C807}" name="Table194" displayName="Table194" ref="DB2:DB39" totalsRowShown="0" headerRowDxfId="299" headerRowBorderDxfId="298" tableBorderDxfId="297" totalsRowBorderDxfId="296">
  <autoFilter ref="DB2:DB39" xr:uid="{529D90C1-2F82-4D52-9CB7-0FEC9CB9C807}"/>
  <tableColumns count="1">
    <tableColumn id="1" xr3:uid="{51EC7871-4B39-47A6-B4B4-4E3D64E74140}" name="IQML_20"/>
  </tableColumns>
  <tableStyleInfo name="TableStyleMedium2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F0AC42D4-2650-47D7-9F66-A3E6DFF03533}" name="Table195" displayName="Table195" ref="DC2:DC39" totalsRowShown="0" headerRowDxfId="295" headerRowBorderDxfId="294" tableBorderDxfId="293" totalsRowBorderDxfId="292">
  <autoFilter ref="DC2:DC39" xr:uid="{F0AC42D4-2650-47D7-9F66-A3E6DFF03533}"/>
  <tableColumns count="1">
    <tableColumn id="1" xr3:uid="{A6FA0CB7-8C9D-4CBB-BD58-435A670DF755}" name="IQML_25"/>
  </tableColumns>
  <tableStyleInfo name="TableStyleMedium2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EB66990-1404-4858-B617-20D4B7D92F05}" name="Table196" displayName="Table196" ref="DD2:DD45" totalsRowShown="0" headerRowDxfId="291" headerRowBorderDxfId="290" tableBorderDxfId="289" totalsRowBorderDxfId="288">
  <autoFilter ref="DD2:DD45" xr:uid="{0EB66990-1404-4858-B617-20D4B7D92F05}"/>
  <tableColumns count="1">
    <tableColumn id="1" xr3:uid="{248FCD60-C3E7-4CFF-AA79-C28057A5BA6A}" name="IQS_12"/>
  </tableColumns>
  <tableStyleInfo name="TableStyleMedium2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984CAF0C-877F-4973-81AC-9E11E558A609}" name="Table197" displayName="Table197" ref="DE2:DE47" totalsRowShown="0" headerRowDxfId="287" headerRowBorderDxfId="286" tableBorderDxfId="285" totalsRowBorderDxfId="284">
  <autoFilter ref="DE2:DE47" xr:uid="{984CAF0C-877F-4973-81AC-9E11E558A609}"/>
  <tableColumns count="1">
    <tableColumn id="1" xr3:uid="{8407A694-BB1E-4EEE-ACCB-E80AD58AE0D7}" name="IQS_20"/>
  </tableColumns>
  <tableStyleInfo name="TableStyleMedium2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1D3E84AF-D176-4AFB-A465-54230F92BF11}" name="Table198" displayName="Table198" ref="DF2:DF46" totalsRowShown="0" headerRowDxfId="283" headerRowBorderDxfId="282" tableBorderDxfId="281" totalsRowBorderDxfId="280">
  <autoFilter ref="DF2:DF46" xr:uid="{1D3E84AF-D176-4AFB-A465-54230F92BF11}"/>
  <tableColumns count="1">
    <tableColumn id="1" xr3:uid="{170B90DC-7671-4F94-B41E-D726EE9E3952}" name="IQS_35"/>
  </tableColumns>
  <tableStyleInfo name="TableStyleMedium2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82C8336A-6C0E-4F5D-9A3C-D1CFD35A7087}" name="Table199" displayName="Table199" ref="DG2:DG37" totalsRowShown="0" headerRowDxfId="279" headerRowBorderDxfId="278" tableBorderDxfId="277" totalsRowBorderDxfId="276">
  <autoFilter ref="DG2:DG37" xr:uid="{82C8336A-6C0E-4F5D-9A3C-D1CFD35A7087}"/>
  <tableColumns count="1">
    <tableColumn id="1" xr3:uid="{13D5298A-FFF0-4A94-98D6-5DFA776AB012}" name="IQD_10"/>
  </tableColumns>
  <tableStyleInfo name="TableStyleMedium2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334DE9E-3426-4FB4-A88B-4E05F18925CA}" name="Table200" displayName="Table200" ref="DH2:DH37" totalsRowShown="0" headerRowDxfId="275" headerRowBorderDxfId="274" tableBorderDxfId="273" totalsRowBorderDxfId="272">
  <autoFilter ref="DH2:DH37" xr:uid="{0334DE9E-3426-4FB4-A88B-4E05F18925CA}"/>
  <tableColumns count="1">
    <tableColumn id="1" xr3:uid="{3E137A96-2AEE-43DC-9FE2-1DF0D77CBE41}" name="IQD_12"/>
  </tableColumns>
  <tableStyleInfo name="TableStyleMedium2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BFBE1AE8-6FF9-41A6-B791-A657D7FD182D}" name="Table201" displayName="Table201" ref="DI2:DI34" totalsRowShown="0" headerRowDxfId="271" headerRowBorderDxfId="270" tableBorderDxfId="269" totalsRowBorderDxfId="268">
  <autoFilter ref="DI2:DI34" xr:uid="{BFBE1AE8-6FF9-41A6-B791-A657D7FD182D}"/>
  <tableColumns count="1">
    <tableColumn id="1" xr3:uid="{09E3C6FC-5154-467B-A7F6-E14DCA02936E}" name="IQD_18"/>
  </tableColumns>
  <tableStyleInfo name="TableStyleMedium2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8AD4818E-5B89-4B04-A89A-012B09545E06}" name="Table202" displayName="Table202" ref="DJ2:DJ37" totalsRowShown="0" headerRowDxfId="267" headerRowBorderDxfId="266" tableBorderDxfId="265" totalsRowBorderDxfId="264">
  <autoFilter ref="DJ2:DJ37" xr:uid="{8AD4818E-5B89-4B04-A89A-012B09545E06}"/>
  <tableColumns count="1">
    <tableColumn id="1" xr3:uid="{26C81A71-8084-472B-971B-4587B1346C68}" name="IQD_20"/>
  </tableColumns>
  <tableStyleInfo name="TableStyleMedium2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4B1C4076-D7D9-4EDE-ABC4-74D992B09527}" name="Table203" displayName="Table203" ref="DK2:DK37" totalsRowShown="0" headerRowDxfId="263" headerRowBorderDxfId="262" tableBorderDxfId="261" totalsRowBorderDxfId="260">
  <autoFilter ref="DK2:DK37" xr:uid="{4B1C4076-D7D9-4EDE-ABC4-74D992B09527}"/>
  <tableColumns count="1">
    <tableColumn id="1" xr3:uid="{A5C242B8-3BC8-4202-B9E0-874ED5B8E234}" name="IQD_25"/>
  </tableColumns>
  <tableStyleInfo name="TableStyleMedium2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6580B813-046F-4E87-9B6A-207D3016DA4B}" name="Table204" displayName="Table204" ref="DL2:DL37" totalsRowShown="0" headerRowDxfId="259" headerRowBorderDxfId="258" tableBorderDxfId="257" totalsRowBorderDxfId="256">
  <autoFilter ref="DL2:DL37" xr:uid="{6580B813-046F-4E87-9B6A-207D3016DA4B}"/>
  <tableColumns count="1">
    <tableColumn id="1" xr3:uid="{F89A106C-3D13-418A-94AD-6322537A8BAE}" name="IQL_10"/>
  </tableColumns>
  <tableStyleInfo name="TableStyleMedium2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F940E5A0-62DF-42C3-AFE2-8366E1E8135A}" name="Table205" displayName="Table205" ref="DM2:DM37" totalsRowShown="0" headerRowDxfId="255" headerRowBorderDxfId="254" tableBorderDxfId="253" totalsRowBorderDxfId="252">
  <autoFilter ref="DM2:DM37" xr:uid="{F940E5A0-62DF-42C3-AFE2-8366E1E8135A}"/>
  <tableColumns count="1">
    <tableColumn id="1" xr3:uid="{16A9F312-87CC-4785-9465-68CAEB5E3F3C}" name="IQL_12"/>
  </tableColumns>
  <tableStyleInfo name="TableStyleMedium2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77EB2BB7-1E67-466C-96CD-1019F7F9F0AE}" name="Table206" displayName="Table206" ref="DN2:DN39" totalsRowShown="0" headerRowDxfId="251" headerRowBorderDxfId="250" tableBorderDxfId="249" totalsRowBorderDxfId="248">
  <autoFilter ref="DN2:DN39" xr:uid="{77EB2BB7-1E67-466C-96CD-1019F7F9F0AE}"/>
  <tableColumns count="1">
    <tableColumn id="1" xr3:uid="{836F6F66-B029-4142-917B-FAB25DBAF977}" name="IQL_20"/>
  </tableColumns>
  <tableStyleInfo name="TableStyleMedium2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E046B22B-CC9B-4EB8-82E7-FF353EE3DE9C}" name="Table207" displayName="Table207" ref="DO2:DO37" totalsRowShown="0" headerRowDxfId="247" dataDxfId="245" headerRowBorderDxfId="246" tableBorderDxfId="244" totalsRowBorderDxfId="243">
  <autoFilter ref="DO2:DO37" xr:uid="{E046B22B-CC9B-4EB8-82E7-FF353EE3DE9C}"/>
  <tableColumns count="1">
    <tableColumn id="1" xr3:uid="{005F26E6-835C-44CF-A29D-70959123FBF5}" name="CK.30" dataDxfId="242"/>
  </tableColumns>
  <tableStyleInfo name="TableStyleMedium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CE419B3C-DCA0-44EB-9677-6338CA21F9B3}" name="Table208" displayName="Table208" ref="DP2:DP37" totalsRowShown="0" headerRowDxfId="241" dataDxfId="239" headerRowBorderDxfId="240" tableBorderDxfId="238" totalsRowBorderDxfId="237">
  <autoFilter ref="DP2:DP37" xr:uid="{CE419B3C-DCA0-44EB-9677-6338CA21F9B3}"/>
  <tableColumns count="1">
    <tableColumn id="1" xr3:uid="{56A913F1-2BC7-43B9-ADDF-6EA1D3C366A1}" name="CK.60" dataDxfId="236"/>
  </tableColumns>
  <tableStyleInfo name="TableStyleMedium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37AAD5B4-2CF6-4764-902F-0BDCD0666064}" name="Table209" displayName="Table209" ref="DQ2:DQ35" totalsRowShown="0" headerRowDxfId="235" headerRowBorderDxfId="234" tableBorderDxfId="233" totalsRowBorderDxfId="232">
  <autoFilter ref="DQ2:DQ35" xr:uid="{37AAD5B4-2CF6-4764-902F-0BDCD0666064}"/>
  <tableColumns count="1">
    <tableColumn id="1" xr3:uid="{BEBEB34F-49BA-4EBB-A6E3-460C7253BB94}" name="CK.120"/>
  </tableColumns>
  <tableStyleInfo name="TableStyleMedium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48A1A5A9-2304-427E-8F41-4BE34C2174A8}" name="Table210" displayName="Table210" ref="DR2:DR35" totalsRowShown="0" headerRowDxfId="231" headerRowBorderDxfId="230" tableBorderDxfId="229" totalsRowBorderDxfId="228">
  <autoFilter ref="DR2:DR35" xr:uid="{48A1A5A9-2304-427E-8F41-4BE34C2174A8}"/>
  <tableColumns count="1">
    <tableColumn id="1" xr3:uid="{F3C10DD9-AE4B-46B7-A678-3E8D5246A8B2}" name="CK.250"/>
  </tableColumns>
  <tableStyleInfo name="TableStyleMedium2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D5E23727-114F-4CB1-BE86-CD8FDAD81375}" name="Table211" displayName="Table211" ref="DS2:DS35" totalsRowShown="0" headerRowDxfId="227" headerRowBorderDxfId="226" tableBorderDxfId="225" totalsRowBorderDxfId="224">
  <autoFilter ref="DS2:DS35" xr:uid="{D5E23727-114F-4CB1-BE86-CD8FDAD81375}"/>
  <tableColumns count="1">
    <tableColumn id="1" xr3:uid="{0549BFA2-1456-4DF1-9026-F9148508BACB}" name="CK.500"/>
  </tableColumns>
  <tableStyleInfo name="TableStyleMedium2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B25A3D12-AE0D-4390-93DA-28F2F17F9F0B}" name="Table212" displayName="Table212" ref="DT2:DT37" totalsRowShown="0" headerRowDxfId="223" dataDxfId="221" headerRowBorderDxfId="222" tableBorderDxfId="220" totalsRowBorderDxfId="219">
  <autoFilter ref="DT2:DT37" xr:uid="{B25A3D12-AE0D-4390-93DA-28F2F17F9F0B}"/>
  <tableColumns count="1">
    <tableColumn id="1" xr3:uid="{50D8C34B-D8D0-4A98-A28B-52CFC45CBC07}" name="CKR.30" dataDxfId="218"/>
  </tableColumns>
  <tableStyleInfo name="TableStyleMedium2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8F849CE7-0221-4925-BC0A-87D6C476C957}" name="Table213" displayName="Table213" ref="DU2:DU37" totalsRowShown="0" headerRowDxfId="217" dataDxfId="215" headerRowBorderDxfId="216" tableBorderDxfId="214" totalsRowBorderDxfId="213">
  <autoFilter ref="DU2:DU37" xr:uid="{8F849CE7-0221-4925-BC0A-87D6C476C957}"/>
  <tableColumns count="1">
    <tableColumn id="1" xr3:uid="{09699D03-AC19-473C-A0F3-A195D08F9B46}" name="CKR.60" dataDxfId="212"/>
  </tableColumns>
  <tableStyleInfo name="TableStyleMedium2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55C64587-7005-488F-8323-4B2A950FC061}" name="Table214" displayName="Table214" ref="DV2:DV35" totalsRowShown="0" headerRowDxfId="211" headerRowBorderDxfId="210" tableBorderDxfId="209" totalsRowBorderDxfId="208">
  <autoFilter ref="DV2:DV35" xr:uid="{55C64587-7005-488F-8323-4B2A950FC061}"/>
  <tableColumns count="1">
    <tableColumn id="1" xr3:uid="{A9259B9C-31DF-4F44-A1C4-0E8AAAA655C6}" name="CKR.120"/>
  </tableColumns>
  <tableStyleInfo name="TableStyleMedium2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1107C2BD-7FCC-4F0D-B575-15029B2BD5AB}" name="Table215" displayName="Table215" ref="DW2:DW35" totalsRowShown="0" headerRowDxfId="207" headerRowBorderDxfId="206" tableBorderDxfId="205" totalsRowBorderDxfId="204">
  <autoFilter ref="DW2:DW35" xr:uid="{1107C2BD-7FCC-4F0D-B575-15029B2BD5AB}"/>
  <tableColumns count="1">
    <tableColumn id="1" xr3:uid="{727DB6D9-B5E1-493B-860C-35DD85345D3E}" name="CKR.250"/>
  </tableColumns>
  <tableStyleInfo name="TableStyleMedium2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F4283BD4-3061-4A3F-8D37-80433F9274AD}" name="Table216" displayName="Table216" ref="DX2:DX35" totalsRowShown="0" headerRowDxfId="203" headerRowBorderDxfId="202" tableBorderDxfId="201" totalsRowBorderDxfId="200">
  <autoFilter ref="DX2:DX35" xr:uid="{F4283BD4-3061-4A3F-8D37-80433F9274AD}"/>
  <tableColumns count="1">
    <tableColumn id="1" xr3:uid="{B7E0BB84-21EB-444B-AFDC-803C6C2AC360}" name="CKR.500"/>
  </tableColumns>
  <tableStyleInfo name="TableStyleMedium2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51145E1-CA99-4FC4-89B3-335BA64AF48F}" name="Table217" displayName="Table217" ref="DY2:DY15" totalsRowShown="0" headerRowDxfId="199" dataDxfId="197" headerRowBorderDxfId="198" tableBorderDxfId="196" totalsRowBorderDxfId="195">
  <autoFilter ref="DY2:DY15" xr:uid="{051145E1-CA99-4FC4-89B3-335BA64AF48F}"/>
  <tableColumns count="1">
    <tableColumn id="1" xr3:uid="{8D1F4AF3-049C-47EC-822D-DCEBE35CDC5C}" name="CKQ.135" dataDxfId="194"/>
  </tableColumns>
  <tableStyleInfo name="TableStyleMedium2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65B5157A-74C9-428A-9B2C-EF33762A1475}" name="Table218" displayName="Table218" ref="DZ2:DZ15" totalsRowShown="0" headerRowDxfId="193" dataDxfId="191" headerRowBorderDxfId="192" tableBorderDxfId="190" totalsRowBorderDxfId="189">
  <autoFilter ref="DZ2:DZ15" xr:uid="{65B5157A-74C9-428A-9B2C-EF33762A1475}"/>
  <tableColumns count="1">
    <tableColumn id="1" xr3:uid="{2CB357C3-1EF2-4D67-B9B8-6298DD73A062}" name="CKQ.400" dataDxfId="188"/>
  </tableColumns>
  <tableStyleInfo name="TableStyleMedium2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24EB5575-38FE-462E-8B3F-BAC0DB3B805F}" name="Table219" displayName="Table219" ref="EA2:EA15" totalsRowShown="0" headerRowDxfId="187" dataDxfId="185" headerRowBorderDxfId="186" tableBorderDxfId="184" totalsRowBorderDxfId="183">
  <autoFilter ref="EA2:EA15" xr:uid="{24EB5575-38FE-462E-8B3F-BAC0DB3B805F}"/>
  <tableColumns count="1">
    <tableColumn id="1" xr3:uid="{FE04789A-BB60-49F0-9022-976F65A38916}" name="CKQ.610" dataDxfId="182"/>
  </tableColumns>
  <tableStyleInfo name="TableStyleMedium2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C7F507FF-B875-4A9D-A531-488D73F4BDCD}" name="Table220" displayName="Table220" ref="EB2:EB17" totalsRowShown="0" headerRowDxfId="181" dataDxfId="179" headerRowBorderDxfId="180" tableBorderDxfId="178" totalsRowBorderDxfId="177">
  <autoFilter ref="EB2:EB17" xr:uid="{C7F507FF-B875-4A9D-A531-488D73F4BDCD}"/>
  <tableColumns count="1">
    <tableColumn id="1" xr3:uid="{09DA9AE5-5125-489C-98B9-10DEF0776AC1}" name="CKQ.1000" dataDxfId="176"/>
  </tableColumns>
  <tableStyleInfo name="TableStyleMedium2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FF9DE642-1CFE-4AD2-8B24-34F8DFCB0B25}" name="Table221" displayName="Table221" ref="EC2:EC13" totalsRowShown="0" headerRowDxfId="175" dataDxfId="173" headerRowBorderDxfId="174" tableBorderDxfId="172" totalsRowBorderDxfId="171">
  <autoFilter ref="EC2:EC13" xr:uid="{FF9DE642-1CFE-4AD2-8B24-34F8DFCB0B25}"/>
  <tableColumns count="1">
    <tableColumn id="1" xr3:uid="{A968044E-9F94-4532-B323-9C9DF08D4295}" name="ROM.1" dataDxfId="170"/>
  </tableColumns>
  <tableStyleInfo name="TableStyleMedium2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2D2DA051-7B1B-472A-AA2F-FED7CB6A7B81}" name="Table222" displayName="Table222" ref="ED2:ED13" totalsRowShown="0" headerRowDxfId="169" headerRowBorderDxfId="168" tableBorderDxfId="167" totalsRowBorderDxfId="166">
  <autoFilter ref="ED2:ED13" xr:uid="{2D2DA051-7B1B-472A-AA2F-FED7CB6A7B81}"/>
  <tableColumns count="1">
    <tableColumn id="1" xr3:uid="{F25FAE4D-52E2-417A-AE36-B4D952E58D1C}" name="ROM.A"/>
  </tableColumns>
  <tableStyleInfo name="TableStyleMedium2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CF1E8856-7CD2-4EB7-B352-19935C672770}" name="Table223" displayName="Table223" ref="EE2:EE13" totalsRowShown="0" headerRowDxfId="165" headerRowBorderDxfId="164" tableBorderDxfId="163" totalsRowBorderDxfId="162">
  <autoFilter ref="EE2:EE13" xr:uid="{CF1E8856-7CD2-4EB7-B352-19935C672770}"/>
  <tableColumns count="1">
    <tableColumn id="1" xr3:uid="{CD899BAB-A1D7-4156-B202-0DA45AECA0C1}" name="ROM.2"/>
  </tableColumns>
  <tableStyleInfo name="TableStyleMedium2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931CC853-47CA-4118-9127-7D09867E9F36}" name="Table224" displayName="Table224" ref="EF2:EF13" totalsRowShown="0" headerRowDxfId="161" headerRowBorderDxfId="160" tableBorderDxfId="159" totalsRowBorderDxfId="158">
  <autoFilter ref="EF2:EF13" xr:uid="{931CC853-47CA-4118-9127-7D09867E9F36}"/>
  <tableColumns count="1">
    <tableColumn id="1" xr3:uid="{1AAB41E6-87C9-4050-BBC3-209C665622E2}" name="ROM.3"/>
  </tableColumns>
  <tableStyleInfo name="TableStyleMedium2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D39A30D8-AA81-444A-8AC0-B8912BEA7C84}" name="Table225" displayName="Table225" ref="EG2:EG13" totalsRowShown="0" headerRowDxfId="157" headerRowBorderDxfId="156" tableBorderDxfId="155" totalsRowBorderDxfId="154">
  <autoFilter ref="EG2:EG13" xr:uid="{D39A30D8-AA81-444A-8AC0-B8912BEA7C84}"/>
  <tableColumns count="1">
    <tableColumn id="1" xr3:uid="{CC92D425-1A29-4AAA-A80B-9B687BDC431B}" name="ROM.4"/>
  </tableColumns>
  <tableStyleInfo name="TableStyleMedium2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6D4A04CF-EEBA-474A-95E7-ACB08861F259}" name="Table226" displayName="Table226" ref="EH2:EH13" totalsRowShown="0" headerRowDxfId="153" headerRowBorderDxfId="152" tableBorderDxfId="151" totalsRowBorderDxfId="150">
  <autoFilter ref="EH2:EH13" xr:uid="{6D4A04CF-EEBA-474A-95E7-ACB08861F259}"/>
  <tableColumns count="1">
    <tableColumn id="1" xr3:uid="{ADF08EDB-9BBA-42AF-B0EF-1E10F739942B}" name="ROM.5"/>
  </tableColumns>
  <tableStyleInfo name="TableStyleMedium2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9FEDBE2D-EAA8-4EDE-8687-9754BC16B3D7}" name="Table227" displayName="Table227" ref="EI2:EI13" totalsRowShown="0" headerRowDxfId="149" headerRowBorderDxfId="148" tableBorderDxfId="147" totalsRowBorderDxfId="146">
  <autoFilter ref="EI2:EI13" xr:uid="{9FEDBE2D-EAA8-4EDE-8687-9754BC16B3D7}"/>
  <tableColumns count="1">
    <tableColumn id="1" xr3:uid="{90940269-1F06-4157-8ACE-7323A48EF21E}" name="ROM.6"/>
  </tableColumns>
  <tableStyleInfo name="TableStyleMedium2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A645E3DF-C55F-4232-AC69-B4247ADB5D65}" name="Table228" displayName="Table228" ref="EJ2:EJ15" totalsRowShown="0" headerRowDxfId="145" dataDxfId="143" headerRowBorderDxfId="144" tableBorderDxfId="142" totalsRowBorderDxfId="141">
  <autoFilter ref="EJ2:EJ15" xr:uid="{A645E3DF-C55F-4232-AC69-B4247ADB5D65}"/>
  <tableColumns count="1">
    <tableColumn id="1" xr3:uid="{821D667D-BBAC-4749-A3CC-86C3AE820986}" name="ROMPAK.1" dataDxfId="140"/>
  </tableColumns>
  <tableStyleInfo name="TableStyleMedium2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DE9A0E05-65AE-49F9-8A7C-27FD48443F44}" name="Table229" displayName="Table229" ref="EK2:EK13" totalsRowShown="0" headerRowDxfId="139" headerRowBorderDxfId="138" tableBorderDxfId="137" totalsRowBorderDxfId="136">
  <autoFilter ref="EK2:EK13" xr:uid="{DE9A0E05-65AE-49F9-8A7C-27FD48443F44}"/>
  <tableColumns count="1">
    <tableColumn id="1" xr3:uid="{D73B086C-8673-45F1-A171-69DD145F4B80}" name="ROMPAK.A"/>
  </tableColumns>
  <tableStyleInfo name="TableStyleMedium2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C9964146-46BD-416D-B877-AA0741F1EAA5}" name="Table230" displayName="Table230" ref="EL2:EL13" totalsRowShown="0" headerRowDxfId="135" headerRowBorderDxfId="134" tableBorderDxfId="133" totalsRowBorderDxfId="132">
  <autoFilter ref="EL2:EL13" xr:uid="{C9964146-46BD-416D-B877-AA0741F1EAA5}"/>
  <tableColumns count="1">
    <tableColumn id="1" xr3:uid="{300FA4E2-4AD5-441C-8D85-B9B04D87EC83}" name="ROMPAK.2"/>
  </tableColumns>
  <tableStyleInfo name="TableStyleMedium2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9ACF935A-A89B-40E8-B265-6858473FEEA5}" name="Table231" displayName="Table231" ref="EM2:EM13" totalsRowShown="0" headerRowDxfId="131" headerRowBorderDxfId="130" tableBorderDxfId="129" totalsRowBorderDxfId="128">
  <autoFilter ref="EM2:EM13" xr:uid="{9ACF935A-A89B-40E8-B265-6858473FEEA5}"/>
  <tableColumns count="1">
    <tableColumn id="1" xr3:uid="{8D88B87C-8FE1-40E1-B57B-9E3B008D21D9}" name="ROMPAK.3"/>
  </tableColumns>
  <tableStyleInfo name="TableStyleMedium2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2" xr:uid="{09D0B521-945C-4810-A0EE-AD617A28CBE7}" name="Table232" displayName="Table232" ref="EN2:EN13" totalsRowShown="0" headerRowDxfId="127" headerRowBorderDxfId="126" tableBorderDxfId="125" totalsRowBorderDxfId="124">
  <autoFilter ref="EN2:EN13" xr:uid="{09D0B521-945C-4810-A0EE-AD617A28CBE7}"/>
  <tableColumns count="1">
    <tableColumn id="1" xr3:uid="{A7C1A7ED-B19B-4576-8A16-028C32556FE2}" name="ROMPAK.4"/>
  </tableColumns>
  <tableStyleInfo name="TableStyleMedium2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AB8EA2DF-E55B-41EC-8BCA-A8FC1447300D}" name="Table233" displayName="Table233" ref="EO2:EO13" totalsRowShown="0" headerRowDxfId="123" headerRowBorderDxfId="122" tableBorderDxfId="121" totalsRowBorderDxfId="120">
  <autoFilter ref="EO2:EO13" xr:uid="{AB8EA2DF-E55B-41EC-8BCA-A8FC1447300D}"/>
  <tableColumns count="1">
    <tableColumn id="1" xr3:uid="{85BC4502-C9B4-41AE-B737-91C9B5F21D4F}" name="ROMPAK.5"/>
  </tableColumns>
  <tableStyleInfo name="TableStyleMedium2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9EEC1122-32F3-4637-97CD-EDA3F051E76D}" name="Table234" displayName="Table234" ref="EP2:EP13" totalsRowShown="0" headerRowDxfId="119" headerRowBorderDxfId="118" tableBorderDxfId="117" totalsRowBorderDxfId="116">
  <autoFilter ref="EP2:EP13" xr:uid="{9EEC1122-32F3-4637-97CD-EDA3F051E76D}"/>
  <tableColumns count="1">
    <tableColumn id="1" xr3:uid="{0E73491D-4B4E-47EF-BA4D-074BEF835A1C}" name="ROMPAK.6"/>
  </tableColumns>
  <tableStyleInfo name="TableStyleMedium2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8AA9785E-E5FA-4233-9871-AD1B2EE1CC41}" name="Table235" displayName="Table235" ref="EQ2:EQ12" totalsRowShown="0" headerRowDxfId="115" headerRowBorderDxfId="114" tableBorderDxfId="113" totalsRowBorderDxfId="112">
  <autoFilter ref="EQ2:EQ12" xr:uid="{8AA9785E-E5FA-4233-9871-AD1B2EE1CC41}"/>
  <tableColumns count="1">
    <tableColumn id="1" xr3:uid="{91E0E93F-C126-4E5A-B04B-5CC3011D0693}" name="MCS"/>
  </tableColumns>
  <tableStyleInfo name="TableStyleMedium2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6" xr:uid="{07029EB9-F54F-4BBF-85B4-C7A9049FB0FF}" name="Table236" displayName="Table236" ref="ER2:ER12" totalsRowShown="0" headerRowDxfId="111" headerRowBorderDxfId="110" tableBorderDxfId="109" totalsRowBorderDxfId="108">
  <autoFilter ref="ER2:ER12" xr:uid="{07029EB9-F54F-4BBF-85B4-C7A9049FB0FF}"/>
  <tableColumns count="1">
    <tableColumn id="1" xr3:uid="{6AB0523B-8AF3-46E7-B066-CFB4B156FCE5}" name="SCHISCHEK"/>
  </tableColumns>
  <tableStyleInfo name="TableStyleMedium2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7" xr:uid="{BE435E67-79B9-4625-A690-8B2F4995975D}" name="Table237" displayName="Table237" ref="ES2:ES12" totalsRowShown="0" headerRowDxfId="107" headerRowBorderDxfId="106" tableBorderDxfId="105" totalsRowBorderDxfId="104">
  <autoFilter ref="ES2:ES12" xr:uid="{BE435E67-79B9-4625-A690-8B2F4995975D}"/>
  <tableColumns count="1">
    <tableColumn id="1" xr3:uid="{0028E360-6E08-4FCB-914F-B11603218AD9}" name="SM"/>
  </tableColumns>
  <tableStyleInfo name="TableStyleMedium2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DC9A6688-CDEA-435B-BEFF-D48478CE2084}" name="Table238" displayName="Table238" ref="ET2:ET12" totalsRowShown="0" headerRowDxfId="103" headerRowBorderDxfId="102" tableBorderDxfId="101" totalsRowBorderDxfId="100">
  <autoFilter ref="ET2:ET12" xr:uid="{DC9A6688-CDEA-435B-BEFF-D48478CE2084}"/>
  <tableColumns count="1">
    <tableColumn id="1" xr3:uid="{18C65081-9B75-4C79-BC5A-0DDBB3F835C7}" name="LA"/>
  </tableColumns>
  <tableStyleInfo name="TableStyleMedium2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4" xr:uid="{1C2D7C25-8E6D-4636-AB08-BB0FF25BB476}" name="Table245" displayName="Table245" ref="EU2:EU33" totalsRowShown="0" headerRowDxfId="99" dataDxfId="97" headerRowBorderDxfId="98" tableBorderDxfId="96">
  <autoFilter ref="EU2:EU33" xr:uid="{1C2D7C25-8E6D-4636-AB08-BB0FF25BB476}"/>
  <tableColumns count="1">
    <tableColumn id="1" xr3:uid="{C66C495E-A96D-403C-99B6-CB16DE004E7D}" name="IQT_125" dataDxfId="95"/>
  </tableColumns>
  <tableStyleInfo name="TableStyleMedium2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5" xr:uid="{34079F15-D25E-4EB6-94A2-EE99193BDDFA}" name="Table246" displayName="Table246" ref="EV2:EV33" totalsRowShown="0" headerRowDxfId="94" dataDxfId="92" headerRowBorderDxfId="93" tableBorderDxfId="91">
  <autoFilter ref="EV2:EV33" xr:uid="{34079F15-D25E-4EB6-94A2-EE99193BDDFA}"/>
  <tableColumns count="1">
    <tableColumn id="1" xr3:uid="{E004497B-E652-48A0-9D97-A64FE1FE514F}" name="IQT_250" dataDxfId="90"/>
  </tableColumns>
  <tableStyleInfo name="TableStyleMedium2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6" xr:uid="{BF61A2A7-E47F-474D-A9E2-15F863E9DE7F}" name="Table247" displayName="Table247" ref="EW2:EW33" totalsRowShown="0" headerRowDxfId="89" dataDxfId="87" headerRowBorderDxfId="88" tableBorderDxfId="86">
  <autoFilter ref="EW2:EW33" xr:uid="{BF61A2A7-E47F-474D-A9E2-15F863E9DE7F}"/>
  <tableColumns count="1">
    <tableColumn id="1" xr3:uid="{1C61D82E-F6C7-4A88-BA52-B56618FEB856}" name="IQT_500" dataDxfId="85"/>
  </tableColumns>
  <tableStyleInfo name="TableStyleMedium2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7" xr:uid="{6FE8ED02-A487-48E8-9A2F-0C04339638FF}" name="Table248" displayName="Table248" ref="EX2:EX31" totalsRowShown="0" headerRowDxfId="84" dataDxfId="82" headerRowBorderDxfId="83" tableBorderDxfId="81">
  <autoFilter ref="EX2:EX31" xr:uid="{6FE8ED02-A487-48E8-9A2F-0C04339638FF}"/>
  <tableColumns count="1">
    <tableColumn id="1" xr3:uid="{B8D7B6B4-5A7A-4B19-B30F-358E92E108C4}" name="IQT_1000" dataDxfId="80"/>
  </tableColumns>
  <tableStyleInfo name="TableStyleMedium2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8" xr:uid="{030BF575-6516-4710-82C8-DBDC871A82B2}" name="Table249" displayName="Table249" ref="EY2:EY29" totalsRowShown="0" headerRowDxfId="79" dataDxfId="77" headerRowBorderDxfId="78" tableBorderDxfId="76">
  <autoFilter ref="EY2:EY29" xr:uid="{030BF575-6516-4710-82C8-DBDC871A82B2}"/>
  <tableColumns count="1">
    <tableColumn id="1" xr3:uid="{FA38DCF0-DAF1-4D4D-ABDF-3929332EC2C5}" name="IQT_2000" dataDxfId="75"/>
  </tableColumns>
  <tableStyleInfo name="TableStyleMedium2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9" xr:uid="{7230F812-81AC-4680-8163-9E046EEE94FD}" name="Table250" displayName="Table250" ref="EZ2:EZ29" totalsRowShown="0" headerRowDxfId="74" dataDxfId="72" headerRowBorderDxfId="73" tableBorderDxfId="71">
  <autoFilter ref="EZ2:EZ29" xr:uid="{7230F812-81AC-4680-8163-9E046EEE94FD}"/>
  <tableColumns count="1">
    <tableColumn id="1" xr3:uid="{040DB79E-DBB0-4914-B0A2-828D9D928CC4}" name="IQT_3000" dataDxfId="70"/>
  </tableColumns>
  <tableStyleInfo name="TableStyleMedium2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0" xr:uid="{515B88DD-9733-4B2F-8144-E22966B15131}" name="Table251" displayName="Table251" ref="FA2:FA33" totalsRowShown="0" headerRowDxfId="69" dataDxfId="67" headerRowBorderDxfId="68" tableBorderDxfId="66">
  <autoFilter ref="FA2:FA33" xr:uid="{515B88DD-9733-4B2F-8144-E22966B15131}"/>
  <tableColumns count="1">
    <tableColumn id="1" xr3:uid="{23749386-5CBD-436A-BD49-A570DFC48915}" name="IQTM_125" dataDxfId="65"/>
  </tableColumns>
  <tableStyleInfo name="TableStyleMedium2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1" xr:uid="{FA1484C0-572C-4B3A-8E25-310E9E583E22}" name="Table252" displayName="Table252" ref="FB2:FB33" totalsRowShown="0" headerRowDxfId="64" dataDxfId="62" headerRowBorderDxfId="63" tableBorderDxfId="61">
  <autoFilter ref="FB2:FB33" xr:uid="{FA1484C0-572C-4B3A-8E25-310E9E583E22}"/>
  <tableColumns count="1">
    <tableColumn id="1" xr3:uid="{4DC3B469-E499-4724-B437-AEFC215EE4F6}" name="IQTM_250" dataDxfId="60"/>
  </tableColumns>
  <tableStyleInfo name="TableStyleMedium2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2" xr:uid="{37138226-636E-4D19-9470-A79C0C0121CD}" name="Table253" displayName="Table253" ref="FC2:FC33" totalsRowShown="0" headerRowDxfId="59" dataDxfId="57" headerRowBorderDxfId="58" tableBorderDxfId="56">
  <autoFilter ref="FC2:FC33" xr:uid="{37138226-636E-4D19-9470-A79C0C0121CD}"/>
  <tableColumns count="1">
    <tableColumn id="1" xr3:uid="{2502133C-170F-426F-BE39-B8E261568861}" name="IQTM_500" dataDxfId="55"/>
  </tableColumns>
  <tableStyleInfo name="TableStyleMedium2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2F349146-A1DD-490F-8288-FDE5969DBD63}" name="Table254" displayName="Table254" ref="FD2:FD31" totalsRowShown="0" headerRowDxfId="54" dataDxfId="52" headerRowBorderDxfId="53" tableBorderDxfId="51">
  <autoFilter ref="FD2:FD31" xr:uid="{2F349146-A1DD-490F-8288-FDE5969DBD63}"/>
  <tableColumns count="1">
    <tableColumn id="1" xr3:uid="{9C13F3CF-96C7-402E-B76B-EBCE86ABA128}" name="IQTM_1000" dataDxfId="50"/>
  </tableColumns>
  <tableStyleInfo name="TableStyleMedium2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3E846140-1318-425B-9CF1-4EBD83D69806}" name="Table255" displayName="Table255" ref="FE2:FE29" totalsRowShown="0" headerRowDxfId="49" dataDxfId="47" headerRowBorderDxfId="48" tableBorderDxfId="46">
  <autoFilter ref="FE2:FE29" xr:uid="{3E846140-1318-425B-9CF1-4EBD83D69806}"/>
  <tableColumns count="1">
    <tableColumn id="1" xr3:uid="{4EDFB620-714C-4CAB-BA46-DC9D06771F35}" name="IQTM_2000" dataDxfId="45"/>
  </tableColumns>
  <tableStyleInfo name="TableStyleMedium2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E539751B-3AD8-4094-973C-3259E672B8DF}" name="Table256" displayName="Table256" ref="FF2:FF29" totalsRowShown="0" headerRowDxfId="44" dataDxfId="42" headerRowBorderDxfId="43" tableBorderDxfId="41">
  <autoFilter ref="FF2:FF29" xr:uid="{E539751B-3AD8-4094-973C-3259E672B8DF}"/>
  <tableColumns count="1">
    <tableColumn id="1" xr3:uid="{514C1096-7B56-42E8-B4EE-31B6CFB7237D}" name="IQTM_3000" dataDxfId="40"/>
  </tableColumns>
  <tableStyleInfo name="TableStyleMedium2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40E3D555-8DA7-4515-9790-F1BC4F50D73C}" name="Table257" displayName="Table257" ref="FG2:FG36" totalsRowShown="0" headerRowDxfId="39" dataDxfId="37" headerRowBorderDxfId="38" tableBorderDxfId="36">
  <autoFilter ref="FG2:FG36" xr:uid="{40E3D555-8DA7-4515-9790-F1BC4F50D73C}"/>
  <tableColumns count="1">
    <tableColumn id="1" xr3:uid="{26D64193-AFFE-42D2-9CBB-4E0A592F79D3}" name="IQTF_50" dataDxfId="35"/>
  </tableColumns>
  <tableStyleInfo name="TableStyleMedium2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947E5939-24E7-4227-AE1E-7A8626F9C039}" name="Table258" displayName="Table258" ref="FH2:FH36" totalsRowShown="0" headerRowDxfId="34" dataDxfId="32" headerRowBorderDxfId="33" tableBorderDxfId="31">
  <autoFilter ref="FH2:FH36" xr:uid="{947E5939-24E7-4227-AE1E-7A8626F9C039}"/>
  <tableColumns count="1">
    <tableColumn id="1" xr3:uid="{5D2CD764-41B6-44F6-B5E5-7B4965599547}" name="IQTF_100" dataDxfId="30"/>
  </tableColumns>
  <tableStyleInfo name="TableStyleMedium2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8" xr:uid="{EAA2BE13-EA20-419B-8C5D-A9E901FC319A}" name="Table259" displayName="Table259" ref="FI2:FI36" totalsRowShown="0" headerRowDxfId="29" dataDxfId="27" headerRowBorderDxfId="28" tableBorderDxfId="26">
  <autoFilter ref="FI2:FI36" xr:uid="{EAA2BE13-EA20-419B-8C5D-A9E901FC319A}"/>
  <tableColumns count="1">
    <tableColumn id="1" xr3:uid="{9F02EBC9-90CB-43F9-A0B0-9E95DBD89F33}" name="IQTF_125" dataDxfId="25"/>
  </tableColumns>
  <tableStyleInfo name="TableStyleMedium2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9" xr:uid="{AC5D2BC1-14D0-4565-9E54-FB0F9E0A870C}" name="Table260" displayName="Table260" ref="FJ2:FJ34" totalsRowShown="0" headerRowDxfId="24" dataDxfId="22" headerRowBorderDxfId="23" tableBorderDxfId="21">
  <autoFilter ref="FJ2:FJ34" xr:uid="{AC5D2BC1-14D0-4565-9E54-FB0F9E0A870C}"/>
  <tableColumns count="1">
    <tableColumn id="1" xr3:uid="{ED1280E2-5C34-44E3-9B6D-F348FD093BD8}" name="IQTF_250" dataDxfId="20"/>
  </tableColumns>
  <tableStyleInfo name="TableStyleMedium2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8801A50B-70D5-48F4-87C2-5A4F84E25233}" name="Table261" displayName="Table261" ref="FK2:FK32" totalsRowShown="0" headerRowDxfId="19" dataDxfId="17" headerRowBorderDxfId="18" tableBorderDxfId="16">
  <autoFilter ref="FK2:FK32" xr:uid="{8801A50B-70D5-48F4-87C2-5A4F84E25233}"/>
  <tableColumns count="1">
    <tableColumn id="1" xr3:uid="{05C7A868-F3D1-4FAF-B5F6-E88AAAC3B7EC}" name="IQTF_500" dataDxfId="15"/>
  </tableColumns>
  <tableStyleInfo name="TableStyleMedium2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1" xr:uid="{B8482859-1D14-4E71-A869-2963E8E3B654}" name="Table262" displayName="Table262" ref="FL2:FL34" totalsRowShown="0" headerRowDxfId="14" dataDxfId="12" headerRowBorderDxfId="13" tableBorderDxfId="11">
  <autoFilter ref="FL2:FL34" xr:uid="{B8482859-1D14-4E71-A869-2963E8E3B654}"/>
  <tableColumns count="1">
    <tableColumn id="1" xr3:uid="{535DA5F4-A707-4A9E-8896-87AA65CAB7B5}" name="IQTF_1000" dataDxfId="10"/>
  </tableColumns>
  <tableStyleInfo name="TableStyleMedium2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2" xr:uid="{76A885B0-4B55-4700-8E64-483C8CA225C5}" name="Table263" displayName="Table263" ref="FM2:FM32" totalsRowShown="0" headerRowDxfId="9" dataDxfId="7" headerRowBorderDxfId="8" tableBorderDxfId="6">
  <autoFilter ref="FM2:FM32" xr:uid="{76A885B0-4B55-4700-8E64-483C8CA225C5}"/>
  <tableColumns count="1">
    <tableColumn id="1" xr3:uid="{5C3EF930-26DB-4024-AA3B-5EA4B8768799}" name="IQTF_2000" dataDxfId="5"/>
  </tableColumns>
  <tableStyleInfo name="TableStyleMedium2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3" xr:uid="{2811265E-FC4F-42E1-9DAF-CD04FAFF1FAF}" name="Table264" displayName="Table264" ref="FN2:FN32" totalsRowShown="0" headerRowDxfId="4" dataDxfId="2" headerRowBorderDxfId="3" tableBorderDxfId="1">
  <autoFilter ref="FN2:FN32" xr:uid="{2811265E-FC4F-42E1-9DAF-CD04FAFF1FAF}"/>
  <tableColumns count="1">
    <tableColumn id="1" xr3:uid="{7EEF3006-F32B-47DD-A6CB-4C6D50CCB164}" name="IQTF_300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comments" Target="../comments1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58.xml"/><Relationship Id="rId117" Type="http://schemas.openxmlformats.org/officeDocument/2006/relationships/table" Target="../tables/table149.xml"/><Relationship Id="rId21" Type="http://schemas.openxmlformats.org/officeDocument/2006/relationships/table" Target="../tables/table53.xml"/><Relationship Id="rId42" Type="http://schemas.openxmlformats.org/officeDocument/2006/relationships/table" Target="../tables/table74.xml"/><Relationship Id="rId47" Type="http://schemas.openxmlformats.org/officeDocument/2006/relationships/table" Target="../tables/table79.xml"/><Relationship Id="rId63" Type="http://schemas.openxmlformats.org/officeDocument/2006/relationships/table" Target="../tables/table95.xml"/><Relationship Id="rId68" Type="http://schemas.openxmlformats.org/officeDocument/2006/relationships/table" Target="../tables/table100.xml"/><Relationship Id="rId84" Type="http://schemas.openxmlformats.org/officeDocument/2006/relationships/table" Target="../tables/table116.xml"/><Relationship Id="rId89" Type="http://schemas.openxmlformats.org/officeDocument/2006/relationships/table" Target="../tables/table121.xml"/><Relationship Id="rId112" Type="http://schemas.openxmlformats.org/officeDocument/2006/relationships/table" Target="../tables/table144.xml"/><Relationship Id="rId133" Type="http://schemas.openxmlformats.org/officeDocument/2006/relationships/table" Target="../tables/table165.xml"/><Relationship Id="rId138" Type="http://schemas.openxmlformats.org/officeDocument/2006/relationships/table" Target="../tables/table170.xml"/><Relationship Id="rId154" Type="http://schemas.openxmlformats.org/officeDocument/2006/relationships/table" Target="../tables/table186.xml"/><Relationship Id="rId159" Type="http://schemas.openxmlformats.org/officeDocument/2006/relationships/table" Target="../tables/table191.xml"/><Relationship Id="rId170" Type="http://schemas.openxmlformats.org/officeDocument/2006/relationships/table" Target="../tables/table202.xml"/><Relationship Id="rId16" Type="http://schemas.openxmlformats.org/officeDocument/2006/relationships/table" Target="../tables/table48.xml"/><Relationship Id="rId107" Type="http://schemas.openxmlformats.org/officeDocument/2006/relationships/table" Target="../tables/table139.xml"/><Relationship Id="rId11" Type="http://schemas.openxmlformats.org/officeDocument/2006/relationships/table" Target="../tables/table43.xml"/><Relationship Id="rId32" Type="http://schemas.openxmlformats.org/officeDocument/2006/relationships/table" Target="../tables/table64.xml"/><Relationship Id="rId37" Type="http://schemas.openxmlformats.org/officeDocument/2006/relationships/table" Target="../tables/table69.xml"/><Relationship Id="rId53" Type="http://schemas.openxmlformats.org/officeDocument/2006/relationships/table" Target="../tables/table85.xml"/><Relationship Id="rId58" Type="http://schemas.openxmlformats.org/officeDocument/2006/relationships/table" Target="../tables/table90.xml"/><Relationship Id="rId74" Type="http://schemas.openxmlformats.org/officeDocument/2006/relationships/table" Target="../tables/table106.xml"/><Relationship Id="rId79" Type="http://schemas.openxmlformats.org/officeDocument/2006/relationships/table" Target="../tables/table111.xml"/><Relationship Id="rId102" Type="http://schemas.openxmlformats.org/officeDocument/2006/relationships/table" Target="../tables/table134.xml"/><Relationship Id="rId123" Type="http://schemas.openxmlformats.org/officeDocument/2006/relationships/table" Target="../tables/table155.xml"/><Relationship Id="rId128" Type="http://schemas.openxmlformats.org/officeDocument/2006/relationships/table" Target="../tables/table160.xml"/><Relationship Id="rId144" Type="http://schemas.openxmlformats.org/officeDocument/2006/relationships/table" Target="../tables/table176.xml"/><Relationship Id="rId149" Type="http://schemas.openxmlformats.org/officeDocument/2006/relationships/table" Target="../tables/table181.xml"/><Relationship Id="rId5" Type="http://schemas.openxmlformats.org/officeDocument/2006/relationships/table" Target="../tables/table37.xml"/><Relationship Id="rId90" Type="http://schemas.openxmlformats.org/officeDocument/2006/relationships/table" Target="../tables/table122.xml"/><Relationship Id="rId95" Type="http://schemas.openxmlformats.org/officeDocument/2006/relationships/table" Target="../tables/table127.xml"/><Relationship Id="rId160" Type="http://schemas.openxmlformats.org/officeDocument/2006/relationships/table" Target="../tables/table192.xml"/><Relationship Id="rId165" Type="http://schemas.openxmlformats.org/officeDocument/2006/relationships/table" Target="../tables/table197.xml"/><Relationship Id="rId22" Type="http://schemas.openxmlformats.org/officeDocument/2006/relationships/table" Target="../tables/table54.xml"/><Relationship Id="rId27" Type="http://schemas.openxmlformats.org/officeDocument/2006/relationships/table" Target="../tables/table59.xml"/><Relationship Id="rId43" Type="http://schemas.openxmlformats.org/officeDocument/2006/relationships/table" Target="../tables/table75.xml"/><Relationship Id="rId48" Type="http://schemas.openxmlformats.org/officeDocument/2006/relationships/table" Target="../tables/table80.xml"/><Relationship Id="rId64" Type="http://schemas.openxmlformats.org/officeDocument/2006/relationships/table" Target="../tables/table96.xml"/><Relationship Id="rId69" Type="http://schemas.openxmlformats.org/officeDocument/2006/relationships/table" Target="../tables/table101.xml"/><Relationship Id="rId113" Type="http://schemas.openxmlformats.org/officeDocument/2006/relationships/table" Target="../tables/table145.xml"/><Relationship Id="rId118" Type="http://schemas.openxmlformats.org/officeDocument/2006/relationships/table" Target="../tables/table150.xml"/><Relationship Id="rId134" Type="http://schemas.openxmlformats.org/officeDocument/2006/relationships/table" Target="../tables/table166.xml"/><Relationship Id="rId139" Type="http://schemas.openxmlformats.org/officeDocument/2006/relationships/table" Target="../tables/table171.xml"/><Relationship Id="rId80" Type="http://schemas.openxmlformats.org/officeDocument/2006/relationships/table" Target="../tables/table112.xml"/><Relationship Id="rId85" Type="http://schemas.openxmlformats.org/officeDocument/2006/relationships/table" Target="../tables/table117.xml"/><Relationship Id="rId150" Type="http://schemas.openxmlformats.org/officeDocument/2006/relationships/table" Target="../tables/table182.xml"/><Relationship Id="rId155" Type="http://schemas.openxmlformats.org/officeDocument/2006/relationships/table" Target="../tables/table187.xml"/><Relationship Id="rId171" Type="http://schemas.openxmlformats.org/officeDocument/2006/relationships/table" Target="../tables/table203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33" Type="http://schemas.openxmlformats.org/officeDocument/2006/relationships/table" Target="../tables/table65.xml"/><Relationship Id="rId38" Type="http://schemas.openxmlformats.org/officeDocument/2006/relationships/table" Target="../tables/table70.xml"/><Relationship Id="rId59" Type="http://schemas.openxmlformats.org/officeDocument/2006/relationships/table" Target="../tables/table91.xml"/><Relationship Id="rId103" Type="http://schemas.openxmlformats.org/officeDocument/2006/relationships/table" Target="../tables/table135.xml"/><Relationship Id="rId108" Type="http://schemas.openxmlformats.org/officeDocument/2006/relationships/table" Target="../tables/table140.xml"/><Relationship Id="rId124" Type="http://schemas.openxmlformats.org/officeDocument/2006/relationships/table" Target="../tables/table156.xml"/><Relationship Id="rId129" Type="http://schemas.openxmlformats.org/officeDocument/2006/relationships/table" Target="../tables/table161.xml"/><Relationship Id="rId54" Type="http://schemas.openxmlformats.org/officeDocument/2006/relationships/table" Target="../tables/table86.xml"/><Relationship Id="rId70" Type="http://schemas.openxmlformats.org/officeDocument/2006/relationships/table" Target="../tables/table102.xml"/><Relationship Id="rId75" Type="http://schemas.openxmlformats.org/officeDocument/2006/relationships/table" Target="../tables/table107.xml"/><Relationship Id="rId91" Type="http://schemas.openxmlformats.org/officeDocument/2006/relationships/table" Target="../tables/table123.xml"/><Relationship Id="rId96" Type="http://schemas.openxmlformats.org/officeDocument/2006/relationships/table" Target="../tables/table128.xml"/><Relationship Id="rId140" Type="http://schemas.openxmlformats.org/officeDocument/2006/relationships/table" Target="../tables/table172.xml"/><Relationship Id="rId145" Type="http://schemas.openxmlformats.org/officeDocument/2006/relationships/table" Target="../tables/table177.xml"/><Relationship Id="rId161" Type="http://schemas.openxmlformats.org/officeDocument/2006/relationships/table" Target="../tables/table193.xml"/><Relationship Id="rId166" Type="http://schemas.openxmlformats.org/officeDocument/2006/relationships/table" Target="../tables/table198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8.xml"/><Relationship Id="rId15" Type="http://schemas.openxmlformats.org/officeDocument/2006/relationships/table" Target="../tables/table47.xml"/><Relationship Id="rId23" Type="http://schemas.openxmlformats.org/officeDocument/2006/relationships/table" Target="../tables/table55.xml"/><Relationship Id="rId28" Type="http://schemas.openxmlformats.org/officeDocument/2006/relationships/table" Target="../tables/table60.xml"/><Relationship Id="rId36" Type="http://schemas.openxmlformats.org/officeDocument/2006/relationships/table" Target="../tables/table68.xml"/><Relationship Id="rId49" Type="http://schemas.openxmlformats.org/officeDocument/2006/relationships/table" Target="../tables/table81.xml"/><Relationship Id="rId57" Type="http://schemas.openxmlformats.org/officeDocument/2006/relationships/table" Target="../tables/table89.xml"/><Relationship Id="rId106" Type="http://schemas.openxmlformats.org/officeDocument/2006/relationships/table" Target="../tables/table138.xml"/><Relationship Id="rId114" Type="http://schemas.openxmlformats.org/officeDocument/2006/relationships/table" Target="../tables/table146.xml"/><Relationship Id="rId119" Type="http://schemas.openxmlformats.org/officeDocument/2006/relationships/table" Target="../tables/table151.xml"/><Relationship Id="rId127" Type="http://schemas.openxmlformats.org/officeDocument/2006/relationships/table" Target="../tables/table159.xml"/><Relationship Id="rId10" Type="http://schemas.openxmlformats.org/officeDocument/2006/relationships/table" Target="../tables/table42.xml"/><Relationship Id="rId31" Type="http://schemas.openxmlformats.org/officeDocument/2006/relationships/table" Target="../tables/table63.xml"/><Relationship Id="rId44" Type="http://schemas.openxmlformats.org/officeDocument/2006/relationships/table" Target="../tables/table76.xml"/><Relationship Id="rId52" Type="http://schemas.openxmlformats.org/officeDocument/2006/relationships/table" Target="../tables/table84.xml"/><Relationship Id="rId60" Type="http://schemas.openxmlformats.org/officeDocument/2006/relationships/table" Target="../tables/table92.xml"/><Relationship Id="rId65" Type="http://schemas.openxmlformats.org/officeDocument/2006/relationships/table" Target="../tables/table97.xml"/><Relationship Id="rId73" Type="http://schemas.openxmlformats.org/officeDocument/2006/relationships/table" Target="../tables/table105.xml"/><Relationship Id="rId78" Type="http://schemas.openxmlformats.org/officeDocument/2006/relationships/table" Target="../tables/table110.xml"/><Relationship Id="rId81" Type="http://schemas.openxmlformats.org/officeDocument/2006/relationships/table" Target="../tables/table113.xml"/><Relationship Id="rId86" Type="http://schemas.openxmlformats.org/officeDocument/2006/relationships/table" Target="../tables/table118.xml"/><Relationship Id="rId94" Type="http://schemas.openxmlformats.org/officeDocument/2006/relationships/table" Target="../tables/table126.xml"/><Relationship Id="rId99" Type="http://schemas.openxmlformats.org/officeDocument/2006/relationships/table" Target="../tables/table131.xml"/><Relationship Id="rId101" Type="http://schemas.openxmlformats.org/officeDocument/2006/relationships/table" Target="../tables/table133.xml"/><Relationship Id="rId122" Type="http://schemas.openxmlformats.org/officeDocument/2006/relationships/table" Target="../tables/table154.xml"/><Relationship Id="rId130" Type="http://schemas.openxmlformats.org/officeDocument/2006/relationships/table" Target="../tables/table162.xml"/><Relationship Id="rId135" Type="http://schemas.openxmlformats.org/officeDocument/2006/relationships/table" Target="../tables/table167.xml"/><Relationship Id="rId143" Type="http://schemas.openxmlformats.org/officeDocument/2006/relationships/table" Target="../tables/table175.xml"/><Relationship Id="rId148" Type="http://schemas.openxmlformats.org/officeDocument/2006/relationships/table" Target="../tables/table180.xml"/><Relationship Id="rId151" Type="http://schemas.openxmlformats.org/officeDocument/2006/relationships/table" Target="../tables/table183.xml"/><Relationship Id="rId156" Type="http://schemas.openxmlformats.org/officeDocument/2006/relationships/table" Target="../tables/table188.xml"/><Relationship Id="rId164" Type="http://schemas.openxmlformats.org/officeDocument/2006/relationships/table" Target="../tables/table196.xml"/><Relationship Id="rId169" Type="http://schemas.openxmlformats.org/officeDocument/2006/relationships/table" Target="../tables/table201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9" Type="http://schemas.openxmlformats.org/officeDocument/2006/relationships/table" Target="../tables/table71.xml"/><Relationship Id="rId109" Type="http://schemas.openxmlformats.org/officeDocument/2006/relationships/table" Target="../tables/table141.xml"/><Relationship Id="rId34" Type="http://schemas.openxmlformats.org/officeDocument/2006/relationships/table" Target="../tables/table66.xml"/><Relationship Id="rId50" Type="http://schemas.openxmlformats.org/officeDocument/2006/relationships/table" Target="../tables/table82.xml"/><Relationship Id="rId55" Type="http://schemas.openxmlformats.org/officeDocument/2006/relationships/table" Target="../tables/table87.xml"/><Relationship Id="rId76" Type="http://schemas.openxmlformats.org/officeDocument/2006/relationships/table" Target="../tables/table108.xml"/><Relationship Id="rId97" Type="http://schemas.openxmlformats.org/officeDocument/2006/relationships/table" Target="../tables/table129.xml"/><Relationship Id="rId104" Type="http://schemas.openxmlformats.org/officeDocument/2006/relationships/table" Target="../tables/table136.xml"/><Relationship Id="rId120" Type="http://schemas.openxmlformats.org/officeDocument/2006/relationships/table" Target="../tables/table152.xml"/><Relationship Id="rId125" Type="http://schemas.openxmlformats.org/officeDocument/2006/relationships/table" Target="../tables/table157.xml"/><Relationship Id="rId141" Type="http://schemas.openxmlformats.org/officeDocument/2006/relationships/table" Target="../tables/table173.xml"/><Relationship Id="rId146" Type="http://schemas.openxmlformats.org/officeDocument/2006/relationships/table" Target="../tables/table178.xml"/><Relationship Id="rId167" Type="http://schemas.openxmlformats.org/officeDocument/2006/relationships/table" Target="../tables/table199.xml"/><Relationship Id="rId7" Type="http://schemas.openxmlformats.org/officeDocument/2006/relationships/table" Target="../tables/table39.xml"/><Relationship Id="rId71" Type="http://schemas.openxmlformats.org/officeDocument/2006/relationships/table" Target="../tables/table103.xml"/><Relationship Id="rId92" Type="http://schemas.openxmlformats.org/officeDocument/2006/relationships/table" Target="../tables/table124.xml"/><Relationship Id="rId162" Type="http://schemas.openxmlformats.org/officeDocument/2006/relationships/table" Target="../tables/table194.xml"/><Relationship Id="rId2" Type="http://schemas.openxmlformats.org/officeDocument/2006/relationships/table" Target="../tables/table34.xml"/><Relationship Id="rId29" Type="http://schemas.openxmlformats.org/officeDocument/2006/relationships/table" Target="../tables/table61.xml"/><Relationship Id="rId24" Type="http://schemas.openxmlformats.org/officeDocument/2006/relationships/table" Target="../tables/table56.xml"/><Relationship Id="rId40" Type="http://schemas.openxmlformats.org/officeDocument/2006/relationships/table" Target="../tables/table72.xml"/><Relationship Id="rId45" Type="http://schemas.openxmlformats.org/officeDocument/2006/relationships/table" Target="../tables/table77.xml"/><Relationship Id="rId66" Type="http://schemas.openxmlformats.org/officeDocument/2006/relationships/table" Target="../tables/table98.xml"/><Relationship Id="rId87" Type="http://schemas.openxmlformats.org/officeDocument/2006/relationships/table" Target="../tables/table119.xml"/><Relationship Id="rId110" Type="http://schemas.openxmlformats.org/officeDocument/2006/relationships/table" Target="../tables/table142.xml"/><Relationship Id="rId115" Type="http://schemas.openxmlformats.org/officeDocument/2006/relationships/table" Target="../tables/table147.xml"/><Relationship Id="rId131" Type="http://schemas.openxmlformats.org/officeDocument/2006/relationships/table" Target="../tables/table163.xml"/><Relationship Id="rId136" Type="http://schemas.openxmlformats.org/officeDocument/2006/relationships/table" Target="../tables/table168.xml"/><Relationship Id="rId157" Type="http://schemas.openxmlformats.org/officeDocument/2006/relationships/table" Target="../tables/table189.xml"/><Relationship Id="rId61" Type="http://schemas.openxmlformats.org/officeDocument/2006/relationships/table" Target="../tables/table93.xml"/><Relationship Id="rId82" Type="http://schemas.openxmlformats.org/officeDocument/2006/relationships/table" Target="../tables/table114.xml"/><Relationship Id="rId152" Type="http://schemas.openxmlformats.org/officeDocument/2006/relationships/table" Target="../tables/table184.xml"/><Relationship Id="rId19" Type="http://schemas.openxmlformats.org/officeDocument/2006/relationships/table" Target="../tables/table51.xml"/><Relationship Id="rId14" Type="http://schemas.openxmlformats.org/officeDocument/2006/relationships/table" Target="../tables/table46.xml"/><Relationship Id="rId30" Type="http://schemas.openxmlformats.org/officeDocument/2006/relationships/table" Target="../tables/table62.xml"/><Relationship Id="rId35" Type="http://schemas.openxmlformats.org/officeDocument/2006/relationships/table" Target="../tables/table67.xml"/><Relationship Id="rId56" Type="http://schemas.openxmlformats.org/officeDocument/2006/relationships/table" Target="../tables/table88.xml"/><Relationship Id="rId77" Type="http://schemas.openxmlformats.org/officeDocument/2006/relationships/table" Target="../tables/table109.xml"/><Relationship Id="rId100" Type="http://schemas.openxmlformats.org/officeDocument/2006/relationships/table" Target="../tables/table132.xml"/><Relationship Id="rId105" Type="http://schemas.openxmlformats.org/officeDocument/2006/relationships/table" Target="../tables/table137.xml"/><Relationship Id="rId126" Type="http://schemas.openxmlformats.org/officeDocument/2006/relationships/table" Target="../tables/table158.xml"/><Relationship Id="rId147" Type="http://schemas.openxmlformats.org/officeDocument/2006/relationships/table" Target="../tables/table179.xml"/><Relationship Id="rId168" Type="http://schemas.openxmlformats.org/officeDocument/2006/relationships/table" Target="../tables/table200.xml"/><Relationship Id="rId8" Type="http://schemas.openxmlformats.org/officeDocument/2006/relationships/table" Target="../tables/table40.xml"/><Relationship Id="rId51" Type="http://schemas.openxmlformats.org/officeDocument/2006/relationships/table" Target="../tables/table83.xml"/><Relationship Id="rId72" Type="http://schemas.openxmlformats.org/officeDocument/2006/relationships/table" Target="../tables/table104.xml"/><Relationship Id="rId93" Type="http://schemas.openxmlformats.org/officeDocument/2006/relationships/table" Target="../tables/table125.xml"/><Relationship Id="rId98" Type="http://schemas.openxmlformats.org/officeDocument/2006/relationships/table" Target="../tables/table130.xml"/><Relationship Id="rId121" Type="http://schemas.openxmlformats.org/officeDocument/2006/relationships/table" Target="../tables/table153.xml"/><Relationship Id="rId142" Type="http://schemas.openxmlformats.org/officeDocument/2006/relationships/table" Target="../tables/table174.xml"/><Relationship Id="rId163" Type="http://schemas.openxmlformats.org/officeDocument/2006/relationships/table" Target="../tables/table195.xml"/><Relationship Id="rId3" Type="http://schemas.openxmlformats.org/officeDocument/2006/relationships/table" Target="../tables/table35.xml"/><Relationship Id="rId25" Type="http://schemas.openxmlformats.org/officeDocument/2006/relationships/table" Target="../tables/table57.xml"/><Relationship Id="rId46" Type="http://schemas.openxmlformats.org/officeDocument/2006/relationships/table" Target="../tables/table78.xml"/><Relationship Id="rId67" Type="http://schemas.openxmlformats.org/officeDocument/2006/relationships/table" Target="../tables/table99.xml"/><Relationship Id="rId116" Type="http://schemas.openxmlformats.org/officeDocument/2006/relationships/table" Target="../tables/table148.xml"/><Relationship Id="rId137" Type="http://schemas.openxmlformats.org/officeDocument/2006/relationships/table" Target="../tables/table169.xml"/><Relationship Id="rId158" Type="http://schemas.openxmlformats.org/officeDocument/2006/relationships/table" Target="../tables/table190.xml"/><Relationship Id="rId20" Type="http://schemas.openxmlformats.org/officeDocument/2006/relationships/table" Target="../tables/table52.xml"/><Relationship Id="rId41" Type="http://schemas.openxmlformats.org/officeDocument/2006/relationships/table" Target="../tables/table73.xml"/><Relationship Id="rId62" Type="http://schemas.openxmlformats.org/officeDocument/2006/relationships/table" Target="../tables/table94.xml"/><Relationship Id="rId83" Type="http://schemas.openxmlformats.org/officeDocument/2006/relationships/table" Target="../tables/table115.xml"/><Relationship Id="rId88" Type="http://schemas.openxmlformats.org/officeDocument/2006/relationships/table" Target="../tables/table120.xml"/><Relationship Id="rId111" Type="http://schemas.openxmlformats.org/officeDocument/2006/relationships/table" Target="../tables/table143.xml"/><Relationship Id="rId132" Type="http://schemas.openxmlformats.org/officeDocument/2006/relationships/table" Target="../tables/table164.xml"/><Relationship Id="rId153" Type="http://schemas.openxmlformats.org/officeDocument/2006/relationships/table" Target="../tables/table1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DB784-CCE8-442C-8A1A-BD5A25E13944}">
  <sheetPr codeName="Sheet1">
    <tabColor rgb="FF92D050"/>
  </sheetPr>
  <dimension ref="A1:IS121"/>
  <sheetViews>
    <sheetView tabSelected="1" zoomScale="70" zoomScaleNormal="7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N4" sqref="N4"/>
    </sheetView>
  </sheetViews>
  <sheetFormatPr defaultColWidth="0" defaultRowHeight="0" customHeight="1" zeroHeight="1" x14ac:dyDescent="0.25"/>
  <cols>
    <col min="1" max="1" width="1.7109375" style="1" customWidth="1"/>
    <col min="2" max="2" width="5.5703125" style="1" customWidth="1"/>
    <col min="3" max="3" width="8.5703125" style="1" customWidth="1"/>
    <col min="4" max="4" width="11.7109375" style="1" bestFit="1" customWidth="1"/>
    <col min="5" max="5" width="10.140625" style="28" customWidth="1"/>
    <col min="6" max="6" width="13.7109375" style="28" customWidth="1"/>
    <col min="7" max="7" width="14.85546875" style="28" customWidth="1"/>
    <col min="8" max="8" width="14.85546875" style="28" hidden="1" customWidth="1"/>
    <col min="9" max="9" width="18.140625" style="28" customWidth="1"/>
    <col min="10" max="10" width="14" style="28" customWidth="1"/>
    <col min="11" max="11" width="20.28515625" style="28" customWidth="1"/>
    <col min="12" max="12" width="13.5703125" style="28" hidden="1" customWidth="1"/>
    <col min="13" max="13" width="12.5703125" style="1" bestFit="1" customWidth="1"/>
    <col min="14" max="14" width="20.5703125" style="1" customWidth="1"/>
    <col min="15" max="15" width="17.5703125" style="6" bestFit="1" customWidth="1"/>
    <col min="16" max="16" width="17.140625" style="1" customWidth="1"/>
    <col min="17" max="17" width="10.140625" style="1" customWidth="1"/>
    <col min="18" max="18" width="16.28515625" style="28" customWidth="1"/>
    <col min="19" max="19" width="17" style="1" bestFit="1" customWidth="1"/>
    <col min="20" max="20" width="16.140625" style="1" customWidth="1"/>
    <col min="21" max="21" width="16.140625" style="1" hidden="1" customWidth="1"/>
    <col min="22" max="22" width="15.85546875" style="28" customWidth="1"/>
    <col min="23" max="23" width="13.5703125" style="28" bestFit="1" customWidth="1"/>
    <col min="24" max="25" width="13.5703125" style="28" customWidth="1"/>
    <col min="26" max="27" width="21" style="28" customWidth="1"/>
    <col min="28" max="28" width="18.85546875" style="28" customWidth="1"/>
    <col min="29" max="29" width="29.140625" style="28" customWidth="1"/>
    <col min="30" max="30" width="25.5703125" style="28" bestFit="1" customWidth="1"/>
    <col min="31" max="32" width="22" style="1" customWidth="1"/>
    <col min="33" max="33" width="14.42578125" style="28" bestFit="1" customWidth="1"/>
    <col min="34" max="34" width="16.7109375" style="1" customWidth="1"/>
    <col min="35" max="35" width="15.5703125" style="1" customWidth="1"/>
    <col min="36" max="36" width="24.140625" style="1" bestFit="1" customWidth="1"/>
    <col min="37" max="37" width="19.85546875" style="1" bestFit="1" customWidth="1"/>
    <col min="38" max="38" width="19.85546875" style="1" customWidth="1"/>
    <col min="39" max="210" width="9" style="1" hidden="1" customWidth="1"/>
    <col min="211" max="211" width="15.140625" style="1" hidden="1" customWidth="1"/>
    <col min="212" max="214" width="9" style="1" hidden="1" customWidth="1"/>
    <col min="215" max="215" width="11.85546875" style="1" hidden="1" customWidth="1"/>
    <col min="216" max="216" width="9.140625" style="1" hidden="1" customWidth="1"/>
    <col min="217" max="218" width="9" style="1" hidden="1" customWidth="1"/>
    <col min="219" max="219" width="14.140625" style="1" hidden="1" customWidth="1"/>
    <col min="220" max="220" width="13.28515625" style="1" hidden="1" customWidth="1"/>
    <col min="221" max="221" width="16.85546875" style="1" hidden="1" customWidth="1"/>
    <col min="222" max="224" width="9" style="1" hidden="1" customWidth="1"/>
    <col min="225" max="225" width="14.42578125" style="1" hidden="1" customWidth="1"/>
    <col min="226" max="227" width="9" style="1" hidden="1" customWidth="1"/>
    <col min="228" max="228" width="10.5703125" style="1" hidden="1" customWidth="1"/>
    <col min="229" max="229" width="12.140625" style="1" hidden="1" customWidth="1"/>
    <col min="230" max="230" width="9" style="1" hidden="1" customWidth="1"/>
    <col min="231" max="231" width="3.5703125" style="1" hidden="1" customWidth="1"/>
    <col min="232" max="232" width="14.42578125" style="1" hidden="1" customWidth="1"/>
    <col min="233" max="233" width="3.85546875" style="1" hidden="1" customWidth="1"/>
    <col min="234" max="234" width="3" style="1" hidden="1" customWidth="1"/>
    <col min="235" max="235" width="20.85546875" style="1" hidden="1" customWidth="1"/>
    <col min="236" max="236" width="2.85546875" style="1" hidden="1" customWidth="1"/>
    <col min="237" max="237" width="16.85546875" style="1" hidden="1" customWidth="1"/>
    <col min="238" max="238" width="3.85546875" style="1" hidden="1" customWidth="1"/>
    <col min="239" max="239" width="27" style="1" hidden="1" customWidth="1"/>
    <col min="240" max="240" width="3.28515625" style="1" hidden="1" customWidth="1"/>
    <col min="241" max="241" width="11.85546875" style="1" hidden="1" customWidth="1"/>
    <col min="242" max="242" width="17.85546875" style="1" hidden="1" customWidth="1"/>
    <col min="243" max="243" width="19.7109375" style="1" hidden="1" customWidth="1"/>
    <col min="244" max="244" width="23.85546875" style="1" hidden="1" customWidth="1"/>
    <col min="245" max="245" width="37.42578125" style="1" hidden="1" customWidth="1"/>
    <col min="246" max="246" width="3.7109375" style="1" hidden="1" customWidth="1"/>
    <col min="247" max="247" width="10.85546875" style="1" hidden="1" customWidth="1"/>
    <col min="248" max="248" width="3.140625" style="1" hidden="1" customWidth="1"/>
    <col min="249" max="249" width="25.28515625" style="1" hidden="1" customWidth="1"/>
    <col min="250" max="250" width="3.42578125" style="1" hidden="1" customWidth="1"/>
    <col min="251" max="251" width="9.140625" style="1" hidden="1" customWidth="1"/>
    <col min="252" max="252" width="3.85546875" style="1" hidden="1" customWidth="1"/>
    <col min="253" max="253" width="3.140625" style="1" hidden="1" customWidth="1"/>
    <col min="254" max="16384" width="9" style="1" hidden="1"/>
  </cols>
  <sheetData>
    <row r="1" spans="2:251" ht="23.25" customHeight="1" thickBot="1" x14ac:dyDescent="0.3">
      <c r="E1" s="165" t="s">
        <v>67</v>
      </c>
      <c r="F1" s="42" t="s">
        <v>64</v>
      </c>
      <c r="G1" s="42" t="s">
        <v>63</v>
      </c>
      <c r="H1" s="42"/>
      <c r="I1" s="116" t="s">
        <v>65</v>
      </c>
      <c r="J1" s="116" t="s">
        <v>66</v>
      </c>
      <c r="K1" s="117" t="s">
        <v>68</v>
      </c>
      <c r="L1" s="117"/>
      <c r="M1" s="117" t="s">
        <v>394</v>
      </c>
      <c r="N1" s="118" t="s">
        <v>404</v>
      </c>
      <c r="O1" s="2"/>
      <c r="Q1" s="167" t="s">
        <v>71</v>
      </c>
      <c r="R1" s="168"/>
      <c r="S1" s="168"/>
      <c r="T1" s="169"/>
      <c r="U1" s="29"/>
      <c r="W1" s="167" t="s">
        <v>104</v>
      </c>
      <c r="X1" s="168"/>
      <c r="Y1" s="168"/>
      <c r="Z1" s="168"/>
      <c r="AA1" s="169"/>
      <c r="AB1" s="3"/>
      <c r="AC1" s="185" t="s">
        <v>88</v>
      </c>
      <c r="AD1" s="186"/>
      <c r="AE1" s="186"/>
      <c r="AF1" s="186"/>
      <c r="AG1" s="187"/>
      <c r="AH1" s="23"/>
      <c r="AJ1" s="207" t="s">
        <v>109</v>
      </c>
      <c r="AK1" s="208"/>
      <c r="AL1" s="209"/>
      <c r="GX1" s="1" t="s">
        <v>166</v>
      </c>
      <c r="HE1" s="4" t="s">
        <v>163</v>
      </c>
      <c r="HF1" s="4" t="s">
        <v>164</v>
      </c>
      <c r="HG1" s="4" t="s">
        <v>165</v>
      </c>
      <c r="HH1" s="4" t="s">
        <v>14</v>
      </c>
      <c r="HI1" s="4" t="s">
        <v>113</v>
      </c>
      <c r="HJ1" s="4" t="s">
        <v>18</v>
      </c>
      <c r="HK1" s="4" t="s">
        <v>48</v>
      </c>
      <c r="HL1" s="4" t="s">
        <v>116</v>
      </c>
    </row>
    <row r="2" spans="2:251" ht="24.6" customHeight="1" thickBot="1" x14ac:dyDescent="0.3">
      <c r="E2" s="166"/>
      <c r="F2" s="145"/>
      <c r="G2" s="145"/>
      <c r="H2" s="146"/>
      <c r="I2" s="145"/>
      <c r="J2" s="145"/>
      <c r="K2" s="147"/>
      <c r="L2" s="148"/>
      <c r="M2" s="145"/>
      <c r="N2" s="149"/>
      <c r="O2" s="2"/>
      <c r="Q2" s="170" t="s">
        <v>86</v>
      </c>
      <c r="R2" s="171"/>
      <c r="S2" s="172" t="s">
        <v>423</v>
      </c>
      <c r="T2" s="173"/>
      <c r="U2" s="28"/>
      <c r="W2" s="181"/>
      <c r="X2" s="172"/>
      <c r="Y2" s="172"/>
      <c r="Z2" s="172"/>
      <c r="AA2" s="173"/>
      <c r="AB2" s="3"/>
      <c r="AC2" s="119"/>
      <c r="AD2" s="120" t="s">
        <v>89</v>
      </c>
      <c r="AE2" s="120" t="s">
        <v>90</v>
      </c>
      <c r="AF2" s="120" t="s">
        <v>91</v>
      </c>
      <c r="AG2" s="121" t="s">
        <v>92</v>
      </c>
      <c r="AJ2" s="210"/>
      <c r="AK2" s="211"/>
      <c r="AL2" s="212"/>
      <c r="GX2" s="1" t="s">
        <v>72</v>
      </c>
      <c r="GY2" s="1" t="s">
        <v>155</v>
      </c>
      <c r="HD2" s="5"/>
      <c r="HE2" s="92" t="s">
        <v>167</v>
      </c>
      <c r="HF2" s="92" t="s">
        <v>168</v>
      </c>
      <c r="HG2" s="95" t="s">
        <v>169</v>
      </c>
      <c r="HH2" s="95" t="s">
        <v>170</v>
      </c>
      <c r="HI2" s="95" t="s">
        <v>171</v>
      </c>
      <c r="HJ2" s="95" t="s">
        <v>172</v>
      </c>
      <c r="HK2" s="95" t="s">
        <v>173</v>
      </c>
      <c r="HL2" s="95" t="s">
        <v>174</v>
      </c>
      <c r="HM2" s="1" t="s">
        <v>16</v>
      </c>
      <c r="HN2" s="1" t="s">
        <v>20</v>
      </c>
      <c r="HO2" s="1" t="s">
        <v>47</v>
      </c>
      <c r="HP2" s="1" t="s">
        <v>19</v>
      </c>
      <c r="HQ2" s="1" t="s">
        <v>114</v>
      </c>
      <c r="HR2" s="1" t="s">
        <v>110</v>
      </c>
      <c r="HS2" s="1" t="s">
        <v>111</v>
      </c>
      <c r="HT2" s="1" t="s">
        <v>17</v>
      </c>
      <c r="HU2" s="2" t="s">
        <v>115</v>
      </c>
      <c r="HX2" s="31" t="s">
        <v>190</v>
      </c>
      <c r="HY2" s="31"/>
      <c r="HZ2" s="31"/>
      <c r="IA2" s="1" t="s">
        <v>176</v>
      </c>
      <c r="IC2" s="31" t="s">
        <v>178</v>
      </c>
      <c r="ID2" s="31"/>
      <c r="IE2" s="31" t="s">
        <v>203</v>
      </c>
      <c r="IF2" s="31"/>
      <c r="IG2" s="5" t="s">
        <v>21</v>
      </c>
      <c r="IH2" s="5" t="s">
        <v>21</v>
      </c>
      <c r="II2" s="5" t="s">
        <v>21</v>
      </c>
      <c r="IJ2" s="5" t="s">
        <v>21</v>
      </c>
      <c r="IK2" s="5" t="s">
        <v>206</v>
      </c>
      <c r="IL2" s="5"/>
      <c r="IM2" s="31" t="s">
        <v>189</v>
      </c>
      <c r="IN2" s="31"/>
      <c r="IO2" s="1" t="s">
        <v>177</v>
      </c>
      <c r="IQ2" s="1" t="s">
        <v>188</v>
      </c>
    </row>
    <row r="3" spans="2:251" ht="15" customHeight="1" thickBot="1" x14ac:dyDescent="0.3">
      <c r="Q3" s="174" t="s">
        <v>83</v>
      </c>
      <c r="R3" s="175"/>
      <c r="S3" s="172"/>
      <c r="T3" s="173"/>
      <c r="U3" s="28"/>
      <c r="W3" s="182"/>
      <c r="X3" s="183"/>
      <c r="Y3" s="183"/>
      <c r="Z3" s="183"/>
      <c r="AA3" s="184"/>
      <c r="AB3" s="3"/>
      <c r="AC3" s="35" t="s">
        <v>93</v>
      </c>
      <c r="AD3" s="150">
        <v>1</v>
      </c>
      <c r="AE3" s="150"/>
      <c r="AF3" s="150"/>
      <c r="AG3" s="151"/>
      <c r="AH3" s="22"/>
      <c r="AJ3" s="213"/>
      <c r="AK3" s="214"/>
      <c r="AL3" s="215"/>
      <c r="GW3" s="1" t="s">
        <v>10</v>
      </c>
      <c r="GY3" s="1" t="s">
        <v>148</v>
      </c>
      <c r="GZ3" s="1" t="s">
        <v>12</v>
      </c>
      <c r="HA3" s="1" t="s">
        <v>149</v>
      </c>
      <c r="HB3" s="124" t="s">
        <v>13</v>
      </c>
      <c r="HC3" s="124" t="s">
        <v>150</v>
      </c>
      <c r="HD3" s="5"/>
      <c r="HE3" s="86" t="s">
        <v>208</v>
      </c>
      <c r="HF3" s="43" t="s">
        <v>341</v>
      </c>
      <c r="HG3" s="100" t="s">
        <v>373</v>
      </c>
      <c r="HH3" s="57" t="s">
        <v>219</v>
      </c>
      <c r="HI3" s="57" t="s">
        <v>228</v>
      </c>
      <c r="HJ3" s="73" t="s">
        <v>254</v>
      </c>
      <c r="HK3" s="57" t="s">
        <v>305</v>
      </c>
      <c r="HL3" s="93" t="s">
        <v>116</v>
      </c>
      <c r="HM3" s="139" t="s">
        <v>285</v>
      </c>
      <c r="HN3" s="93" t="s">
        <v>20</v>
      </c>
      <c r="HO3" s="127" t="s">
        <v>316</v>
      </c>
      <c r="HP3" s="57" t="s">
        <v>326</v>
      </c>
      <c r="HQ3" s="126" t="s">
        <v>333</v>
      </c>
      <c r="HR3" s="1" t="s">
        <v>110</v>
      </c>
      <c r="HS3" s="1" t="s">
        <v>111</v>
      </c>
      <c r="HT3" s="127" t="s">
        <v>291</v>
      </c>
      <c r="HU3" s="143" t="s">
        <v>115</v>
      </c>
      <c r="HX3" s="31" t="s">
        <v>26</v>
      </c>
      <c r="HY3" s="31"/>
      <c r="HZ3" s="31"/>
      <c r="IA3" s="31" t="s">
        <v>40</v>
      </c>
      <c r="IB3" s="31"/>
      <c r="IC3" s="31" t="s">
        <v>42</v>
      </c>
      <c r="ID3" s="31"/>
      <c r="IE3" s="31" t="s">
        <v>54</v>
      </c>
      <c r="IF3" s="31"/>
      <c r="IG3" s="5" t="s">
        <v>61</v>
      </c>
      <c r="IH3" s="5">
        <v>1</v>
      </c>
      <c r="II3" s="5" t="s">
        <v>69</v>
      </c>
      <c r="IJ3" s="5" t="s">
        <v>74</v>
      </c>
      <c r="IK3" s="5" t="s">
        <v>74</v>
      </c>
      <c r="IL3" s="5"/>
      <c r="IM3" s="31" t="s">
        <v>77</v>
      </c>
      <c r="IN3" s="31"/>
      <c r="IO3" s="1" t="s">
        <v>180</v>
      </c>
      <c r="IQ3" s="1" t="s">
        <v>186</v>
      </c>
    </row>
    <row r="4" spans="2:251" ht="15" customHeight="1" thickBot="1" x14ac:dyDescent="0.3">
      <c r="Q4" s="174" t="s">
        <v>84</v>
      </c>
      <c r="R4" s="175"/>
      <c r="S4" s="172"/>
      <c r="T4" s="173"/>
      <c r="U4" s="28"/>
      <c r="W4" s="182"/>
      <c r="X4" s="183"/>
      <c r="Y4" s="183"/>
      <c r="Z4" s="183"/>
      <c r="AA4" s="184"/>
      <c r="AB4" s="3"/>
      <c r="AC4" s="35" t="s">
        <v>94</v>
      </c>
      <c r="AD4" s="150">
        <v>1</v>
      </c>
      <c r="AE4" s="150"/>
      <c r="AF4" s="150"/>
      <c r="AG4" s="151"/>
      <c r="AH4" s="22"/>
      <c r="AJ4" s="213"/>
      <c r="AK4" s="214"/>
      <c r="AL4" s="215"/>
      <c r="GW4" s="1" t="s">
        <v>148</v>
      </c>
      <c r="GY4" s="1" t="s">
        <v>397</v>
      </c>
      <c r="GZ4" s="135" t="s">
        <v>398</v>
      </c>
      <c r="HA4" s="1" t="s">
        <v>19</v>
      </c>
      <c r="HB4" s="93" t="s">
        <v>400</v>
      </c>
      <c r="HC4" s="93" t="s">
        <v>402</v>
      </c>
      <c r="HD4" s="5"/>
      <c r="HE4" s="87" t="s">
        <v>209</v>
      </c>
      <c r="HF4" s="43" t="s">
        <v>342</v>
      </c>
      <c r="HG4" s="100" t="s">
        <v>374</v>
      </c>
      <c r="HH4" s="57" t="s">
        <v>220</v>
      </c>
      <c r="HI4" s="57" t="s">
        <v>229</v>
      </c>
      <c r="HJ4" s="73" t="s">
        <v>255</v>
      </c>
      <c r="HK4" s="57" t="s">
        <v>306</v>
      </c>
      <c r="HL4" s="94" t="s">
        <v>72</v>
      </c>
      <c r="HM4" s="140" t="s">
        <v>286</v>
      </c>
      <c r="HO4" s="126" t="s">
        <v>317</v>
      </c>
      <c r="HP4" s="57" t="s">
        <v>327</v>
      </c>
      <c r="HQ4" s="127" t="s">
        <v>334</v>
      </c>
      <c r="HT4" s="126" t="s">
        <v>292</v>
      </c>
      <c r="HX4" s="31" t="s">
        <v>27</v>
      </c>
      <c r="HY4" s="31"/>
      <c r="HZ4" s="31"/>
      <c r="IA4" s="31" t="s">
        <v>41</v>
      </c>
      <c r="IB4" s="31"/>
      <c r="IC4" s="31" t="s">
        <v>44</v>
      </c>
      <c r="ID4" s="31"/>
      <c r="IE4" s="31" t="s">
        <v>60</v>
      </c>
      <c r="IF4" s="31"/>
      <c r="IG4" s="5" t="s">
        <v>62</v>
      </c>
      <c r="IH4" s="5">
        <v>2</v>
      </c>
      <c r="II4" s="5" t="s">
        <v>70</v>
      </c>
      <c r="IJ4" s="5" t="s">
        <v>73</v>
      </c>
      <c r="IK4" s="5" t="s">
        <v>82</v>
      </c>
      <c r="IL4" s="5"/>
      <c r="IM4" s="31" t="s">
        <v>78</v>
      </c>
      <c r="IN4" s="31"/>
      <c r="IO4" s="1" t="s">
        <v>181</v>
      </c>
      <c r="IQ4" s="1" t="s">
        <v>187</v>
      </c>
    </row>
    <row r="5" spans="2:251" ht="15" customHeight="1" thickBot="1" x14ac:dyDescent="0.3">
      <c r="E5" s="188" t="s">
        <v>107</v>
      </c>
      <c r="F5" s="189"/>
      <c r="G5" s="195" t="s">
        <v>424</v>
      </c>
      <c r="H5" s="196"/>
      <c r="I5" s="196"/>
      <c r="J5" s="196"/>
      <c r="K5" s="197"/>
      <c r="L5" s="21"/>
      <c r="M5" s="194"/>
      <c r="N5" s="194"/>
      <c r="O5" s="194"/>
      <c r="Q5" s="174" t="s">
        <v>85</v>
      </c>
      <c r="R5" s="175"/>
      <c r="S5" s="172"/>
      <c r="T5" s="173"/>
      <c r="U5" s="28"/>
      <c r="W5" s="182"/>
      <c r="X5" s="183"/>
      <c r="Y5" s="183"/>
      <c r="Z5" s="183"/>
      <c r="AA5" s="184"/>
      <c r="AB5" s="3"/>
      <c r="AC5" s="35" t="s">
        <v>95</v>
      </c>
      <c r="AD5" s="150">
        <v>1</v>
      </c>
      <c r="AE5" s="150"/>
      <c r="AF5" s="150"/>
      <c r="AG5" s="151"/>
      <c r="AH5" s="22"/>
      <c r="AJ5" s="216"/>
      <c r="AK5" s="217"/>
      <c r="AL5" s="218"/>
      <c r="GW5" s="1" t="s">
        <v>12</v>
      </c>
      <c r="GY5" s="1" t="s">
        <v>398</v>
      </c>
      <c r="GZ5" s="136" t="s">
        <v>399</v>
      </c>
      <c r="HA5" s="1" t="s">
        <v>114</v>
      </c>
      <c r="HB5" s="94" t="s">
        <v>401</v>
      </c>
      <c r="HC5" s="94" t="s">
        <v>116</v>
      </c>
      <c r="HD5" s="5"/>
      <c r="HE5" s="88" t="s">
        <v>210</v>
      </c>
      <c r="HF5" s="43" t="s">
        <v>343</v>
      </c>
      <c r="HG5" s="101" t="s">
        <v>375</v>
      </c>
      <c r="HH5" s="57" t="s">
        <v>221</v>
      </c>
      <c r="HI5" s="57" t="s">
        <v>230</v>
      </c>
      <c r="HJ5" s="73" t="s">
        <v>256</v>
      </c>
      <c r="HK5" s="57" t="s">
        <v>307</v>
      </c>
      <c r="HL5" s="25"/>
      <c r="HM5" s="141" t="s">
        <v>287</v>
      </c>
      <c r="HO5" s="127" t="s">
        <v>318</v>
      </c>
      <c r="HP5" s="57" t="s">
        <v>328</v>
      </c>
      <c r="HQ5" s="126" t="s">
        <v>335</v>
      </c>
      <c r="HT5" s="127" t="s">
        <v>293</v>
      </c>
      <c r="HX5" s="31" t="s">
        <v>28</v>
      </c>
      <c r="HY5" s="31"/>
      <c r="HZ5" s="31"/>
      <c r="IA5" s="31" t="s">
        <v>50</v>
      </c>
      <c r="IB5" s="31"/>
      <c r="IC5" s="31" t="s">
        <v>43</v>
      </c>
      <c r="ID5" s="31"/>
      <c r="IE5" s="31" t="s">
        <v>59</v>
      </c>
      <c r="IF5" s="31"/>
      <c r="IG5" s="5"/>
      <c r="IH5" s="5">
        <v>3</v>
      </c>
      <c r="II5" s="5" t="s">
        <v>72</v>
      </c>
      <c r="IJ5" s="5" t="s">
        <v>82</v>
      </c>
      <c r="IK5" s="5" t="s">
        <v>72</v>
      </c>
      <c r="IL5" s="5"/>
      <c r="IM5" s="31" t="s">
        <v>79</v>
      </c>
      <c r="IN5" s="31"/>
      <c r="IO5" s="1" t="s">
        <v>403</v>
      </c>
    </row>
    <row r="6" spans="2:251" ht="15" customHeight="1" thickBot="1" x14ac:dyDescent="0.3">
      <c r="E6" s="190" t="s">
        <v>108</v>
      </c>
      <c r="F6" s="191"/>
      <c r="G6" s="198" t="s">
        <v>428</v>
      </c>
      <c r="H6" s="199"/>
      <c r="I6" s="199"/>
      <c r="J6" s="199"/>
      <c r="K6" s="200"/>
      <c r="L6" s="21"/>
      <c r="M6" s="194"/>
      <c r="N6" s="194"/>
      <c r="O6" s="194"/>
      <c r="Q6" s="174" t="s">
        <v>100</v>
      </c>
      <c r="R6" s="175"/>
      <c r="S6" s="172"/>
      <c r="T6" s="173"/>
      <c r="U6" s="28"/>
      <c r="W6" s="182"/>
      <c r="X6" s="183"/>
      <c r="Y6" s="183"/>
      <c r="Z6" s="183"/>
      <c r="AA6" s="184"/>
      <c r="AB6" s="3"/>
      <c r="AC6" s="36" t="s">
        <v>112</v>
      </c>
      <c r="AD6" s="152">
        <v>1</v>
      </c>
      <c r="AE6" s="152"/>
      <c r="AF6" s="152"/>
      <c r="AG6" s="153"/>
      <c r="GW6" s="1" t="s">
        <v>149</v>
      </c>
      <c r="GY6" s="1" t="s">
        <v>399</v>
      </c>
      <c r="GZ6" s="137" t="s">
        <v>16</v>
      </c>
      <c r="HA6" s="1" t="s">
        <v>116</v>
      </c>
      <c r="HB6" s="123" t="s">
        <v>17</v>
      </c>
      <c r="HD6" s="5"/>
      <c r="HE6" s="87" t="s">
        <v>211</v>
      </c>
      <c r="HF6" s="43" t="s">
        <v>344</v>
      </c>
      <c r="HG6" s="101" t="s">
        <v>376</v>
      </c>
      <c r="HH6" s="57" t="s">
        <v>222</v>
      </c>
      <c r="HI6" s="57" t="s">
        <v>231</v>
      </c>
      <c r="HJ6" s="73" t="s">
        <v>257</v>
      </c>
      <c r="HK6" s="57" t="s">
        <v>308</v>
      </c>
      <c r="HL6" s="25"/>
      <c r="HM6" s="140" t="s">
        <v>288</v>
      </c>
      <c r="HO6" s="126" t="s">
        <v>319</v>
      </c>
      <c r="HP6" s="57" t="s">
        <v>329</v>
      </c>
      <c r="HQ6" s="127" t="s">
        <v>336</v>
      </c>
      <c r="HT6" s="126" t="s">
        <v>294</v>
      </c>
      <c r="HX6" s="31" t="s">
        <v>29</v>
      </c>
      <c r="HY6" s="31"/>
      <c r="HZ6" s="31"/>
      <c r="IA6" s="31" t="s">
        <v>200</v>
      </c>
      <c r="IB6" s="31"/>
      <c r="IC6" s="31" t="s">
        <v>191</v>
      </c>
      <c r="ID6" s="31"/>
      <c r="IE6" s="31" t="s">
        <v>53</v>
      </c>
      <c r="IF6" s="31"/>
      <c r="IG6" s="5"/>
      <c r="IH6" s="5">
        <v>4</v>
      </c>
      <c r="II6" s="5"/>
      <c r="IJ6" s="5" t="s">
        <v>72</v>
      </c>
      <c r="IK6" s="5"/>
      <c r="IL6" s="5"/>
      <c r="IM6" s="31" t="s">
        <v>80</v>
      </c>
      <c r="IN6" s="31"/>
      <c r="IO6" s="1" t="s">
        <v>204</v>
      </c>
    </row>
    <row r="7" spans="2:251" ht="15" customHeight="1" thickBot="1" x14ac:dyDescent="0.3">
      <c r="E7" s="192" t="s">
        <v>106</v>
      </c>
      <c r="F7" s="193"/>
      <c r="G7" s="201" t="s">
        <v>425</v>
      </c>
      <c r="H7" s="202"/>
      <c r="I7" s="202"/>
      <c r="J7" s="202"/>
      <c r="K7" s="203"/>
      <c r="L7" s="21"/>
      <c r="M7" s="194"/>
      <c r="N7" s="194"/>
      <c r="O7" s="194"/>
      <c r="Q7" s="179" t="s">
        <v>105</v>
      </c>
      <c r="R7" s="180"/>
      <c r="S7" s="176"/>
      <c r="T7" s="177"/>
      <c r="U7" s="28"/>
      <c r="W7" s="204"/>
      <c r="X7" s="205"/>
      <c r="Y7" s="205"/>
      <c r="Z7" s="205"/>
      <c r="AA7" s="206"/>
      <c r="AB7" s="1"/>
      <c r="AC7" s="1"/>
      <c r="GW7" s="1" t="s">
        <v>13</v>
      </c>
      <c r="GY7" s="1" t="s">
        <v>14</v>
      </c>
      <c r="GZ7" s="136" t="s">
        <v>396</v>
      </c>
      <c r="HB7" s="122" t="s">
        <v>116</v>
      </c>
      <c r="HD7" s="5"/>
      <c r="HE7" s="88" t="s">
        <v>212</v>
      </c>
      <c r="HF7" s="43" t="s">
        <v>345</v>
      </c>
      <c r="HG7" s="100" t="s">
        <v>377</v>
      </c>
      <c r="HH7" s="57" t="s">
        <v>223</v>
      </c>
      <c r="HI7" s="57" t="s">
        <v>232</v>
      </c>
      <c r="HJ7" s="25"/>
      <c r="HK7" s="25"/>
      <c r="HL7" s="25"/>
      <c r="HM7" s="141" t="s">
        <v>289</v>
      </c>
      <c r="HO7" s="127" t="s">
        <v>320</v>
      </c>
      <c r="HP7" s="57" t="s">
        <v>330</v>
      </c>
      <c r="HQ7" s="126" t="s">
        <v>337</v>
      </c>
      <c r="HT7" s="127" t="s">
        <v>295</v>
      </c>
      <c r="HX7" s="31" t="s">
        <v>30</v>
      </c>
      <c r="HY7" s="31"/>
      <c r="HZ7" s="31"/>
      <c r="IA7" s="31" t="s">
        <v>72</v>
      </c>
      <c r="IB7" s="31"/>
      <c r="IC7" s="31" t="s">
        <v>45</v>
      </c>
      <c r="ID7" s="31"/>
      <c r="IE7" s="31" t="s">
        <v>58</v>
      </c>
      <c r="IF7" s="31"/>
      <c r="IG7" s="5"/>
      <c r="IH7" s="5">
        <v>5</v>
      </c>
      <c r="II7" s="5"/>
      <c r="IJ7" s="5"/>
      <c r="IK7" s="5"/>
      <c r="IL7" s="5"/>
      <c r="IM7" s="31" t="s">
        <v>81</v>
      </c>
      <c r="IN7" s="31"/>
      <c r="IO7" s="1" t="s">
        <v>205</v>
      </c>
    </row>
    <row r="8" spans="2:251" ht="15" customHeight="1" thickBot="1" x14ac:dyDescent="0.3">
      <c r="E8" s="178"/>
      <c r="F8" s="178"/>
      <c r="O8" s="1"/>
      <c r="Q8" s="178"/>
      <c r="R8" s="178"/>
      <c r="S8" s="178"/>
      <c r="T8" s="178"/>
      <c r="U8" s="28"/>
      <c r="AB8" s="1"/>
      <c r="AC8" s="1"/>
      <c r="GW8" s="1" t="s">
        <v>150</v>
      </c>
      <c r="GY8" s="1" t="s">
        <v>113</v>
      </c>
      <c r="GZ8" s="137" t="s">
        <v>47</v>
      </c>
      <c r="HD8" s="5"/>
      <c r="HE8" s="87" t="s">
        <v>213</v>
      </c>
      <c r="HF8" s="43" t="s">
        <v>346</v>
      </c>
      <c r="HG8" s="101" t="s">
        <v>378</v>
      </c>
      <c r="HH8" s="57" t="s">
        <v>224</v>
      </c>
      <c r="HI8" s="57" t="s">
        <v>233</v>
      </c>
      <c r="HJ8" s="25"/>
      <c r="HK8" s="25"/>
      <c r="HL8" s="25"/>
      <c r="HM8" s="142" t="s">
        <v>290</v>
      </c>
      <c r="HO8" s="126" t="s">
        <v>321</v>
      </c>
      <c r="HP8" s="57" t="s">
        <v>331</v>
      </c>
      <c r="HQ8" s="127" t="s">
        <v>338</v>
      </c>
      <c r="HT8" s="126" t="s">
        <v>296</v>
      </c>
      <c r="HX8" s="31" t="s">
        <v>31</v>
      </c>
      <c r="HY8" s="31"/>
      <c r="HZ8" s="31"/>
      <c r="IA8" s="31"/>
      <c r="IB8" s="31"/>
      <c r="IC8" s="31" t="s">
        <v>46</v>
      </c>
      <c r="ID8" s="31"/>
      <c r="IE8" s="31" t="s">
        <v>55</v>
      </c>
      <c r="IF8" s="31"/>
      <c r="IG8" s="5"/>
      <c r="IH8" s="5">
        <v>6</v>
      </c>
      <c r="II8" s="5"/>
      <c r="IJ8" s="5"/>
      <c r="IK8" s="5"/>
      <c r="IL8" s="5"/>
      <c r="IM8" s="31" t="s">
        <v>200</v>
      </c>
      <c r="IN8" s="31"/>
      <c r="IO8" s="1" t="s">
        <v>200</v>
      </c>
    </row>
    <row r="9" spans="2:251" s="7" customFormat="1" ht="38.1" customHeight="1" thickBot="1" x14ac:dyDescent="0.3">
      <c r="B9" s="134" t="s">
        <v>395</v>
      </c>
      <c r="C9" s="133"/>
      <c r="D9" s="132"/>
      <c r="E9" s="132"/>
      <c r="F9" s="132"/>
      <c r="G9" s="132"/>
      <c r="H9" s="132"/>
      <c r="I9" s="131"/>
      <c r="J9" s="132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30"/>
      <c r="AF9" s="27"/>
      <c r="AG9" s="161" t="s">
        <v>0</v>
      </c>
      <c r="AH9" s="162"/>
      <c r="AI9" s="162"/>
      <c r="AJ9" s="162"/>
      <c r="AK9" s="162"/>
      <c r="AL9" s="163"/>
      <c r="GW9" s="9"/>
      <c r="GY9" s="7" t="s">
        <v>18</v>
      </c>
      <c r="GZ9" s="138" t="s">
        <v>116</v>
      </c>
      <c r="HD9" s="5"/>
      <c r="HE9" s="88" t="s">
        <v>214</v>
      </c>
      <c r="HF9" s="43" t="s">
        <v>347</v>
      </c>
      <c r="HG9" s="114" t="s">
        <v>379</v>
      </c>
      <c r="HH9" s="57" t="s">
        <v>225</v>
      </c>
      <c r="HI9" s="57" t="s">
        <v>235</v>
      </c>
      <c r="HJ9" s="25"/>
      <c r="HK9" s="25"/>
      <c r="HL9" s="25"/>
      <c r="HO9" s="127" t="s">
        <v>322</v>
      </c>
      <c r="HP9" s="125" t="s">
        <v>332</v>
      </c>
      <c r="HQ9" s="128" t="s">
        <v>339</v>
      </c>
      <c r="HT9" s="127" t="s">
        <v>297</v>
      </c>
      <c r="HX9" s="31" t="s">
        <v>151</v>
      </c>
      <c r="HY9" s="31"/>
      <c r="HZ9" s="31"/>
      <c r="IA9" s="31"/>
      <c r="IB9" s="31"/>
      <c r="IC9" s="31" t="s">
        <v>49</v>
      </c>
      <c r="ID9" s="31"/>
      <c r="IE9" s="31" t="s">
        <v>56</v>
      </c>
      <c r="IF9" s="31"/>
      <c r="IG9" s="5"/>
      <c r="IH9" s="5">
        <v>8</v>
      </c>
      <c r="II9" s="5"/>
      <c r="IJ9" s="5"/>
      <c r="IK9" s="5"/>
      <c r="IL9" s="5"/>
      <c r="IM9" s="31"/>
      <c r="IN9" s="31"/>
    </row>
    <row r="10" spans="2:251" s="8" customFormat="1" ht="42" customHeight="1" x14ac:dyDescent="0.25">
      <c r="B10" s="10" t="s">
        <v>8</v>
      </c>
      <c r="C10" s="11" t="s">
        <v>9</v>
      </c>
      <c r="D10" s="11" t="s">
        <v>11</v>
      </c>
      <c r="E10" s="11" t="s">
        <v>10</v>
      </c>
      <c r="F10" s="12" t="s">
        <v>144</v>
      </c>
      <c r="G10" s="12" t="s">
        <v>179</v>
      </c>
      <c r="H10" s="12" t="s">
        <v>201</v>
      </c>
      <c r="I10" s="12" t="s">
        <v>145</v>
      </c>
      <c r="J10" s="12" t="s">
        <v>146</v>
      </c>
      <c r="K10" s="11" t="s">
        <v>147</v>
      </c>
      <c r="L10" s="11" t="s">
        <v>183</v>
      </c>
      <c r="M10" s="11" t="s">
        <v>1</v>
      </c>
      <c r="N10" s="11" t="s">
        <v>2</v>
      </c>
      <c r="O10" s="11" t="s">
        <v>182</v>
      </c>
      <c r="P10" s="11" t="s">
        <v>3</v>
      </c>
      <c r="Q10" s="13" t="s">
        <v>4</v>
      </c>
      <c r="R10" s="13" t="s">
        <v>5</v>
      </c>
      <c r="S10" s="14" t="s">
        <v>157</v>
      </c>
      <c r="T10" s="10" t="s">
        <v>57</v>
      </c>
      <c r="U10" s="30" t="s">
        <v>202</v>
      </c>
      <c r="V10" s="12" t="s">
        <v>15</v>
      </c>
      <c r="W10" s="11" t="s">
        <v>158</v>
      </c>
      <c r="X10" s="13" t="s">
        <v>422</v>
      </c>
      <c r="Y10" s="15" t="s">
        <v>175</v>
      </c>
      <c r="Z10" s="16" t="s">
        <v>177</v>
      </c>
      <c r="AA10" s="16" t="s">
        <v>178</v>
      </c>
      <c r="AB10" s="14" t="s">
        <v>87</v>
      </c>
      <c r="AC10" s="16" t="s">
        <v>159</v>
      </c>
      <c r="AD10" s="17" t="s">
        <v>160</v>
      </c>
      <c r="AE10" s="14" t="s">
        <v>184</v>
      </c>
      <c r="AF10" s="12" t="s">
        <v>185</v>
      </c>
      <c r="AG10" s="12" t="s">
        <v>6</v>
      </c>
      <c r="AH10" s="11" t="s">
        <v>76</v>
      </c>
      <c r="AI10" s="18" t="s">
        <v>7</v>
      </c>
      <c r="AJ10" s="19" t="s">
        <v>161</v>
      </c>
      <c r="AK10" s="20" t="s">
        <v>162</v>
      </c>
      <c r="AL10" s="14" t="s">
        <v>156</v>
      </c>
      <c r="GW10" s="9"/>
      <c r="GY10" s="7" t="s">
        <v>48</v>
      </c>
      <c r="GZ10" s="7"/>
      <c r="HA10" s="7"/>
      <c r="HB10" s="7"/>
      <c r="HC10" s="7"/>
      <c r="HD10" s="5"/>
      <c r="HE10" s="87" t="s">
        <v>215</v>
      </c>
      <c r="HF10" s="43" t="s">
        <v>348</v>
      </c>
      <c r="HG10" s="100" t="s">
        <v>380</v>
      </c>
      <c r="HH10" s="57" t="s">
        <v>226</v>
      </c>
      <c r="HI10" s="57" t="s">
        <v>234</v>
      </c>
      <c r="HJ10" s="25"/>
      <c r="HK10" s="25"/>
      <c r="HL10" s="25"/>
      <c r="HO10" s="126" t="s">
        <v>323</v>
      </c>
      <c r="HT10" s="126" t="s">
        <v>298</v>
      </c>
      <c r="HX10" s="31" t="s">
        <v>152</v>
      </c>
      <c r="HY10" s="31"/>
      <c r="HZ10" s="31"/>
      <c r="IA10" s="31"/>
      <c r="IB10" s="31"/>
      <c r="IC10" s="31" t="s">
        <v>51</v>
      </c>
      <c r="ID10" s="31"/>
      <c r="IE10" s="31" t="s">
        <v>75</v>
      </c>
      <c r="IF10" s="31"/>
      <c r="IG10" s="5"/>
      <c r="IH10" s="5">
        <v>9</v>
      </c>
      <c r="II10" s="5"/>
      <c r="IJ10" s="5"/>
      <c r="IK10" s="5"/>
      <c r="IL10" s="5"/>
      <c r="IM10" s="31"/>
      <c r="IN10" s="31"/>
    </row>
    <row r="11" spans="2:251" s="24" customFormat="1" ht="54.6" customHeight="1" x14ac:dyDescent="0.25">
      <c r="B11" s="144">
        <v>1</v>
      </c>
      <c r="C11" s="144">
        <v>1</v>
      </c>
      <c r="D11" s="144"/>
      <c r="E11" s="144" t="s">
        <v>148</v>
      </c>
      <c r="F11" s="144" t="s">
        <v>113</v>
      </c>
      <c r="G11" s="144" t="s">
        <v>230</v>
      </c>
      <c r="H11" s="154"/>
      <c r="I11" s="144" t="s">
        <v>117</v>
      </c>
      <c r="J11" s="144" t="s">
        <v>121</v>
      </c>
      <c r="K11" s="144" t="s">
        <v>426</v>
      </c>
      <c r="L11" s="154"/>
      <c r="M11" s="144">
        <v>30</v>
      </c>
      <c r="N11" s="144">
        <v>58450</v>
      </c>
      <c r="O11" s="155">
        <f>Table3[[#This Row],[UNIT PRICE]]*Table3[[#This Row],[QTY]]</f>
        <v>1753500</v>
      </c>
      <c r="P11" s="144" t="s">
        <v>427</v>
      </c>
      <c r="Q11" s="144">
        <v>24</v>
      </c>
      <c r="R11" s="156" t="s">
        <v>26</v>
      </c>
      <c r="S11" s="144"/>
      <c r="T11" s="157"/>
      <c r="U11" s="158"/>
      <c r="V11" s="144"/>
      <c r="W11" s="144"/>
      <c r="X11" s="144"/>
      <c r="Y11" s="144"/>
      <c r="Z11" s="159" t="s">
        <v>403</v>
      </c>
      <c r="AA11" s="159" t="s">
        <v>43</v>
      </c>
      <c r="AB11" s="159"/>
      <c r="AC11" s="144" t="s">
        <v>54</v>
      </c>
      <c r="AD11" s="144" t="s">
        <v>74</v>
      </c>
      <c r="AE11" s="144"/>
      <c r="AF11" s="144"/>
      <c r="AG11" s="144" t="s">
        <v>72</v>
      </c>
      <c r="AH11" s="144"/>
      <c r="AI11" s="144"/>
      <c r="AJ11" s="144"/>
      <c r="AK11" s="144"/>
      <c r="AL11" s="144"/>
      <c r="GW11" s="25"/>
      <c r="GY11" s="24" t="s">
        <v>116</v>
      </c>
      <c r="HD11" s="26"/>
      <c r="HE11" s="89" t="s">
        <v>216</v>
      </c>
      <c r="HF11" s="43" t="s">
        <v>349</v>
      </c>
      <c r="HG11" s="101" t="s">
        <v>381</v>
      </c>
      <c r="HH11" s="57" t="s">
        <v>227</v>
      </c>
      <c r="HI11" s="57" t="s">
        <v>236</v>
      </c>
      <c r="HJ11" s="25"/>
      <c r="HK11" s="25"/>
      <c r="HL11" s="25"/>
      <c r="HO11" s="127" t="s">
        <v>324</v>
      </c>
      <c r="HT11" s="127" t="s">
        <v>299</v>
      </c>
      <c r="HX11" s="32" t="s">
        <v>153</v>
      </c>
      <c r="HY11" s="32"/>
      <c r="HZ11" s="32"/>
      <c r="IA11" s="32"/>
      <c r="IB11" s="32"/>
      <c r="IC11" s="32" t="s">
        <v>52</v>
      </c>
      <c r="ID11" s="32"/>
      <c r="IE11" s="33" t="s">
        <v>200</v>
      </c>
      <c r="IF11" s="34"/>
      <c r="IG11" s="26"/>
      <c r="IH11" s="26">
        <v>10</v>
      </c>
      <c r="II11" s="26"/>
      <c r="IJ11" s="26"/>
      <c r="IK11" s="26"/>
      <c r="IL11" s="26"/>
      <c r="IM11" s="32"/>
      <c r="IN11" s="32"/>
    </row>
    <row r="12" spans="2:251" s="24" customFormat="1" ht="54.6" customHeight="1" x14ac:dyDescent="0.25">
      <c r="B12" s="144"/>
      <c r="C12" s="144"/>
      <c r="D12" s="144"/>
      <c r="E12" s="144"/>
      <c r="F12" s="144"/>
      <c r="G12" s="144"/>
      <c r="H12" s="154"/>
      <c r="I12" s="144"/>
      <c r="J12" s="144"/>
      <c r="K12" s="144"/>
      <c r="L12" s="154"/>
      <c r="M12" s="144"/>
      <c r="N12" s="144"/>
      <c r="O12" s="155">
        <f>Table3[[#This Row],[UNIT PRICE]]*Table3[[#This Row],[QTY]]</f>
        <v>0</v>
      </c>
      <c r="P12" s="144"/>
      <c r="Q12" s="144"/>
      <c r="R12" s="156"/>
      <c r="S12" s="144"/>
      <c r="T12" s="157"/>
      <c r="U12" s="158"/>
      <c r="V12" s="144"/>
      <c r="W12" s="144"/>
      <c r="X12" s="144"/>
      <c r="Y12" s="144"/>
      <c r="Z12" s="159"/>
      <c r="AA12" s="159"/>
      <c r="AB12" s="159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GW12" s="25"/>
      <c r="GY12" s="24" t="s">
        <v>72</v>
      </c>
      <c r="HD12" s="26"/>
      <c r="HE12" s="87" t="s">
        <v>217</v>
      </c>
      <c r="HF12" s="43" t="s">
        <v>350</v>
      </c>
      <c r="HG12" s="101" t="s">
        <v>382</v>
      </c>
      <c r="HH12" s="57" t="s">
        <v>284</v>
      </c>
      <c r="HI12" s="57" t="s">
        <v>237</v>
      </c>
      <c r="HJ12" s="25"/>
      <c r="HK12" s="25"/>
      <c r="HL12" s="25"/>
      <c r="HO12" s="128" t="s">
        <v>325</v>
      </c>
      <c r="HT12" s="126" t="s">
        <v>300</v>
      </c>
      <c r="HX12" s="31" t="s">
        <v>200</v>
      </c>
      <c r="HY12" s="32"/>
      <c r="HZ12" s="31"/>
      <c r="IA12" s="32"/>
      <c r="IB12" s="32"/>
      <c r="IC12" s="32" t="s">
        <v>192</v>
      </c>
      <c r="ID12" s="32"/>
      <c r="IE12" s="32" t="s">
        <v>72</v>
      </c>
      <c r="IF12" s="32"/>
      <c r="IG12" s="26"/>
      <c r="IH12" s="26"/>
      <c r="II12" s="26"/>
      <c r="IJ12" s="26"/>
      <c r="IK12" s="26"/>
      <c r="IL12" s="26"/>
      <c r="IM12" s="32"/>
      <c r="IN12" s="32"/>
    </row>
    <row r="13" spans="2:251" s="24" customFormat="1" ht="54.6" customHeight="1" x14ac:dyDescent="0.25">
      <c r="B13" s="144"/>
      <c r="C13" s="144"/>
      <c r="D13" s="144"/>
      <c r="E13" s="144"/>
      <c r="F13" s="144"/>
      <c r="G13" s="144"/>
      <c r="H13" s="154"/>
      <c r="I13" s="144"/>
      <c r="J13" s="144"/>
      <c r="K13" s="144"/>
      <c r="L13" s="154"/>
      <c r="M13" s="144"/>
      <c r="N13" s="144"/>
      <c r="O13" s="155">
        <f>Table3[[#This Row],[UNIT PRICE]]*Table3[[#This Row],[QTY]]</f>
        <v>0</v>
      </c>
      <c r="P13" s="144"/>
      <c r="Q13" s="144"/>
      <c r="R13" s="156"/>
      <c r="S13" s="144"/>
      <c r="T13" s="157"/>
      <c r="U13" s="158"/>
      <c r="V13" s="144"/>
      <c r="W13" s="144"/>
      <c r="X13" s="144"/>
      <c r="Y13" s="144"/>
      <c r="Z13" s="159"/>
      <c r="AA13" s="159"/>
      <c r="AB13" s="159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GW13" s="25"/>
      <c r="HD13" s="26"/>
      <c r="HE13" s="88" t="s">
        <v>218</v>
      </c>
      <c r="HF13" s="43" t="s">
        <v>351</v>
      </c>
      <c r="HG13" s="100" t="s">
        <v>383</v>
      </c>
      <c r="HH13" s="25"/>
      <c r="HI13" s="57" t="s">
        <v>239</v>
      </c>
      <c r="HJ13" s="25"/>
      <c r="HK13" s="25"/>
      <c r="HL13" s="25"/>
      <c r="HT13" s="127" t="s">
        <v>301</v>
      </c>
      <c r="HX13" s="32" t="s">
        <v>72</v>
      </c>
      <c r="HY13" s="32"/>
      <c r="HZ13" s="32"/>
      <c r="IA13" s="32"/>
      <c r="IB13" s="32"/>
      <c r="IC13" s="32" t="s">
        <v>193</v>
      </c>
      <c r="ID13" s="32"/>
      <c r="IE13" s="32"/>
      <c r="IF13" s="32"/>
      <c r="IG13" s="26"/>
      <c r="IH13" s="26"/>
      <c r="II13" s="26"/>
      <c r="IJ13" s="26"/>
      <c r="IK13" s="26"/>
      <c r="IL13" s="26"/>
      <c r="IM13" s="32"/>
      <c r="IN13" s="32"/>
    </row>
    <row r="14" spans="2:251" s="24" customFormat="1" ht="54.6" customHeight="1" x14ac:dyDescent="0.25">
      <c r="B14" s="144"/>
      <c r="C14" s="144"/>
      <c r="D14" s="144"/>
      <c r="E14" s="144"/>
      <c r="F14" s="144"/>
      <c r="G14" s="144"/>
      <c r="H14" s="154"/>
      <c r="I14" s="144"/>
      <c r="J14" s="144"/>
      <c r="K14" s="144"/>
      <c r="L14" s="154"/>
      <c r="M14" s="144"/>
      <c r="N14" s="144"/>
      <c r="O14" s="155">
        <f>Table3[[#This Row],[UNIT PRICE]]*Table3[[#This Row],[QTY]]</f>
        <v>0</v>
      </c>
      <c r="P14" s="144"/>
      <c r="Q14" s="144"/>
      <c r="R14" s="156"/>
      <c r="S14" s="144"/>
      <c r="T14" s="157"/>
      <c r="U14" s="158"/>
      <c r="V14" s="144"/>
      <c r="W14" s="144"/>
      <c r="X14" s="144"/>
      <c r="Y14" s="144"/>
      <c r="Z14" s="159"/>
      <c r="AA14" s="159"/>
      <c r="AB14" s="159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GW14" s="25"/>
      <c r="HD14" s="26"/>
      <c r="HE14" s="87" t="s">
        <v>264</v>
      </c>
      <c r="HF14" s="43" t="s">
        <v>352</v>
      </c>
      <c r="HG14" s="101" t="s">
        <v>384</v>
      </c>
      <c r="HH14" s="25"/>
      <c r="HI14" s="57" t="s">
        <v>238</v>
      </c>
      <c r="HJ14" s="25"/>
      <c r="HK14" s="25"/>
      <c r="HL14" s="25"/>
      <c r="HT14" s="126" t="s">
        <v>302</v>
      </c>
      <c r="HX14" s="32"/>
      <c r="HY14" s="32"/>
      <c r="HZ14" s="32"/>
      <c r="IA14" s="32"/>
      <c r="IB14" s="32"/>
      <c r="IC14" s="32" t="s">
        <v>194</v>
      </c>
      <c r="ID14" s="32"/>
      <c r="IE14" s="32"/>
      <c r="IF14" s="32"/>
      <c r="IG14" s="26"/>
      <c r="IH14" s="26"/>
      <c r="II14" s="26"/>
      <c r="IJ14" s="26"/>
      <c r="IK14" s="26"/>
      <c r="IL14" s="26"/>
      <c r="IM14" s="32"/>
      <c r="IN14" s="32"/>
    </row>
    <row r="15" spans="2:251" s="24" customFormat="1" ht="54.6" customHeight="1" x14ac:dyDescent="0.25">
      <c r="B15" s="144"/>
      <c r="C15" s="144"/>
      <c r="D15" s="144"/>
      <c r="E15" s="144"/>
      <c r="F15" s="144"/>
      <c r="G15" s="144"/>
      <c r="H15" s="154"/>
      <c r="I15" s="144"/>
      <c r="J15" s="144"/>
      <c r="K15" s="144"/>
      <c r="L15" s="154"/>
      <c r="M15" s="144"/>
      <c r="N15" s="144"/>
      <c r="O15" s="155">
        <f>Table3[[#This Row],[UNIT PRICE]]*Table3[[#This Row],[QTY]]</f>
        <v>0</v>
      </c>
      <c r="P15" s="144"/>
      <c r="Q15" s="144"/>
      <c r="R15" s="156"/>
      <c r="S15" s="144"/>
      <c r="T15" s="157"/>
      <c r="U15" s="158"/>
      <c r="V15" s="144"/>
      <c r="W15" s="144"/>
      <c r="X15" s="144"/>
      <c r="Y15" s="144"/>
      <c r="Z15" s="159"/>
      <c r="AA15" s="159"/>
      <c r="AB15" s="159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GW15" s="25"/>
      <c r="HD15" s="26"/>
      <c r="HE15" s="90" t="s">
        <v>315</v>
      </c>
      <c r="HF15" s="57" t="s">
        <v>353</v>
      </c>
      <c r="HG15" s="114" t="s">
        <v>385</v>
      </c>
      <c r="HH15" s="25"/>
      <c r="HI15" s="57" t="s">
        <v>250</v>
      </c>
      <c r="HJ15" s="25"/>
      <c r="HK15" s="25"/>
      <c r="HL15" s="25"/>
      <c r="HT15" s="127" t="s">
        <v>303</v>
      </c>
      <c r="HX15" s="32"/>
      <c r="HY15" s="32"/>
      <c r="HZ15" s="32"/>
      <c r="IA15" s="32"/>
      <c r="IB15" s="32"/>
      <c r="IC15" s="32" t="s">
        <v>195</v>
      </c>
      <c r="ID15" s="32"/>
      <c r="IE15" s="32"/>
      <c r="IF15" s="32"/>
      <c r="IG15" s="26"/>
      <c r="IH15" s="26"/>
      <c r="II15" s="26"/>
      <c r="IJ15" s="26"/>
      <c r="IK15" s="26"/>
      <c r="IL15" s="26"/>
      <c r="IM15" s="32"/>
      <c r="IN15" s="32"/>
    </row>
    <row r="16" spans="2:251" s="24" customFormat="1" ht="54.6" customHeight="1" x14ac:dyDescent="0.25">
      <c r="B16" s="144"/>
      <c r="C16" s="144"/>
      <c r="D16" s="144"/>
      <c r="E16" s="144"/>
      <c r="F16" s="144"/>
      <c r="G16" s="144"/>
      <c r="H16" s="154"/>
      <c r="I16" s="144"/>
      <c r="J16" s="144"/>
      <c r="K16" s="144"/>
      <c r="L16" s="154"/>
      <c r="M16" s="144"/>
      <c r="N16" s="144"/>
      <c r="O16" s="155">
        <f>Table3[[#This Row],[UNIT PRICE]]*Table3[[#This Row],[QTY]]</f>
        <v>0</v>
      </c>
      <c r="P16" s="144"/>
      <c r="Q16" s="144"/>
      <c r="R16" s="156"/>
      <c r="S16" s="144"/>
      <c r="T16" s="157"/>
      <c r="U16" s="158"/>
      <c r="V16" s="144"/>
      <c r="W16" s="144"/>
      <c r="X16" s="144"/>
      <c r="Y16" s="144"/>
      <c r="Z16" s="159"/>
      <c r="AA16" s="159"/>
      <c r="AB16" s="159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GW16" s="25"/>
      <c r="HD16" s="26"/>
      <c r="HE16" s="91" t="s">
        <v>265</v>
      </c>
      <c r="HF16" s="57" t="s">
        <v>354</v>
      </c>
      <c r="HG16" s="100" t="s">
        <v>386</v>
      </c>
      <c r="HH16" s="25"/>
      <c r="HI16" s="57" t="s">
        <v>251</v>
      </c>
      <c r="HJ16" s="25"/>
      <c r="HK16" s="25"/>
      <c r="HL16" s="25"/>
      <c r="HT16" s="128" t="s">
        <v>304</v>
      </c>
      <c r="HX16" s="32"/>
      <c r="HY16" s="32"/>
      <c r="HZ16" s="32"/>
      <c r="IA16" s="32"/>
      <c r="IB16" s="32"/>
      <c r="IC16" s="32" t="s">
        <v>196</v>
      </c>
      <c r="ID16" s="32"/>
      <c r="IE16" s="32"/>
      <c r="IF16" s="32"/>
      <c r="IG16" s="26"/>
      <c r="IH16" s="26"/>
      <c r="II16" s="26"/>
      <c r="IJ16" s="26"/>
      <c r="IK16" s="26"/>
      <c r="IL16" s="26"/>
      <c r="IM16" s="32"/>
      <c r="IN16" s="32"/>
    </row>
    <row r="17" spans="2:248" s="24" customFormat="1" ht="54.6" customHeight="1" x14ac:dyDescent="0.25">
      <c r="B17" s="144"/>
      <c r="C17" s="144"/>
      <c r="D17" s="144"/>
      <c r="E17" s="144"/>
      <c r="F17" s="144"/>
      <c r="G17" s="144"/>
      <c r="H17" s="154"/>
      <c r="I17" s="144"/>
      <c r="J17" s="144"/>
      <c r="K17" s="144"/>
      <c r="L17" s="154"/>
      <c r="M17" s="144"/>
      <c r="N17" s="144"/>
      <c r="O17" s="155">
        <f>Table3[[#This Row],[UNIT PRICE]]*Table3[[#This Row],[QTY]]</f>
        <v>0</v>
      </c>
      <c r="P17" s="144"/>
      <c r="Q17" s="144"/>
      <c r="R17" s="156"/>
      <c r="S17" s="144"/>
      <c r="T17" s="157"/>
      <c r="U17" s="158"/>
      <c r="V17" s="144"/>
      <c r="W17" s="144"/>
      <c r="X17" s="144"/>
      <c r="Y17" s="144"/>
      <c r="Z17" s="159"/>
      <c r="AA17" s="159"/>
      <c r="AB17" s="159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GW17" s="25"/>
      <c r="HD17" s="26"/>
      <c r="HE17" s="91" t="s">
        <v>266</v>
      </c>
      <c r="HF17" s="57" t="s">
        <v>355</v>
      </c>
      <c r="HG17" s="101" t="s">
        <v>387</v>
      </c>
      <c r="HH17" s="25"/>
      <c r="HI17" s="57" t="s">
        <v>252</v>
      </c>
      <c r="HJ17" s="25"/>
      <c r="HK17" s="25"/>
      <c r="HL17" s="25"/>
      <c r="HX17" s="32"/>
      <c r="HY17" s="32"/>
      <c r="HZ17" s="32"/>
      <c r="IA17" s="32"/>
      <c r="IB17" s="32"/>
      <c r="IC17" s="32" t="s">
        <v>197</v>
      </c>
      <c r="ID17" s="32"/>
      <c r="IE17" s="32"/>
      <c r="IF17" s="32"/>
      <c r="IG17" s="26"/>
      <c r="IH17" s="26"/>
      <c r="II17" s="26"/>
      <c r="IJ17" s="26"/>
      <c r="IK17" s="26"/>
      <c r="IL17" s="26"/>
      <c r="IM17" s="32"/>
      <c r="IN17" s="32"/>
    </row>
    <row r="18" spans="2:248" s="24" customFormat="1" ht="54.6" customHeight="1" x14ac:dyDescent="0.25">
      <c r="B18" s="144"/>
      <c r="C18" s="144"/>
      <c r="D18" s="144"/>
      <c r="E18" s="144"/>
      <c r="F18" s="144"/>
      <c r="G18" s="144"/>
      <c r="H18" s="154"/>
      <c r="I18" s="144"/>
      <c r="J18" s="144"/>
      <c r="K18" s="144"/>
      <c r="L18" s="154"/>
      <c r="M18" s="144"/>
      <c r="N18" s="144"/>
      <c r="O18" s="155">
        <f>Table3[[#This Row],[UNIT PRICE]]*Table3[[#This Row],[QTY]]</f>
        <v>0</v>
      </c>
      <c r="P18" s="144"/>
      <c r="Q18" s="144"/>
      <c r="R18" s="156"/>
      <c r="S18" s="144"/>
      <c r="T18" s="157"/>
      <c r="U18" s="158"/>
      <c r="V18" s="144"/>
      <c r="W18" s="144"/>
      <c r="X18" s="144"/>
      <c r="Y18" s="144"/>
      <c r="Z18" s="159"/>
      <c r="AA18" s="159"/>
      <c r="AB18" s="159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GW18" s="25"/>
      <c r="HD18" s="26"/>
      <c r="HE18" s="91" t="s">
        <v>267</v>
      </c>
      <c r="HF18" s="57" t="s">
        <v>356</v>
      </c>
      <c r="HG18" s="101" t="s">
        <v>388</v>
      </c>
      <c r="HH18" s="25"/>
      <c r="HI18" s="57" t="s">
        <v>253</v>
      </c>
      <c r="HJ18" s="25"/>
      <c r="HK18" s="25"/>
      <c r="HL18" s="25"/>
      <c r="HX18" s="32"/>
      <c r="HY18" s="32"/>
      <c r="HZ18" s="32"/>
      <c r="IA18" s="32"/>
      <c r="IB18" s="32"/>
      <c r="IC18" s="32" t="s">
        <v>198</v>
      </c>
      <c r="ID18" s="32"/>
      <c r="IE18" s="32"/>
      <c r="IF18" s="32"/>
      <c r="IG18" s="26"/>
      <c r="IH18" s="26"/>
      <c r="II18" s="26"/>
      <c r="IJ18" s="26"/>
      <c r="IK18" s="26"/>
      <c r="IL18" s="26"/>
      <c r="IM18" s="32"/>
      <c r="IN18" s="32"/>
    </row>
    <row r="19" spans="2:248" s="24" customFormat="1" ht="54.6" customHeight="1" x14ac:dyDescent="0.25">
      <c r="B19" s="144"/>
      <c r="C19" s="144"/>
      <c r="D19" s="144"/>
      <c r="E19" s="144"/>
      <c r="F19" s="144"/>
      <c r="G19" s="144"/>
      <c r="H19" s="154"/>
      <c r="I19" s="144"/>
      <c r="J19" s="144"/>
      <c r="K19" s="144"/>
      <c r="L19" s="154"/>
      <c r="M19" s="144"/>
      <c r="N19" s="144"/>
      <c r="O19" s="155">
        <f>Table3[[#This Row],[UNIT PRICE]]*Table3[[#This Row],[QTY]]</f>
        <v>0</v>
      </c>
      <c r="P19" s="144"/>
      <c r="Q19" s="144"/>
      <c r="R19" s="156"/>
      <c r="S19" s="144"/>
      <c r="T19" s="157"/>
      <c r="U19" s="158"/>
      <c r="V19" s="144"/>
      <c r="W19" s="144"/>
      <c r="X19" s="144"/>
      <c r="Y19" s="144"/>
      <c r="Z19" s="159"/>
      <c r="AA19" s="159"/>
      <c r="AB19" s="159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GW19" s="25"/>
      <c r="HD19" s="26"/>
      <c r="HE19" s="91" t="s">
        <v>268</v>
      </c>
      <c r="HF19" s="57" t="s">
        <v>357</v>
      </c>
      <c r="HG19" s="100" t="s">
        <v>389</v>
      </c>
      <c r="HH19" s="25"/>
      <c r="HI19" s="57" t="s">
        <v>246</v>
      </c>
      <c r="HJ19" s="25"/>
      <c r="HK19" s="25"/>
      <c r="HL19" s="25"/>
      <c r="HX19" s="32"/>
      <c r="HY19" s="32"/>
      <c r="HZ19" s="32"/>
      <c r="IA19" s="32"/>
      <c r="IB19" s="32"/>
      <c r="IC19" s="32" t="s">
        <v>199</v>
      </c>
      <c r="ID19" s="32"/>
      <c r="IE19" s="32"/>
      <c r="IF19" s="32"/>
      <c r="IG19" s="26"/>
      <c r="IH19" s="26"/>
      <c r="II19" s="26"/>
      <c r="IJ19" s="26"/>
      <c r="IK19" s="26"/>
      <c r="IL19" s="26"/>
      <c r="IM19" s="32"/>
      <c r="IN19" s="32"/>
    </row>
    <row r="20" spans="2:248" s="24" customFormat="1" ht="54.6" customHeight="1" x14ac:dyDescent="0.25">
      <c r="B20" s="144"/>
      <c r="C20" s="144"/>
      <c r="D20" s="144"/>
      <c r="E20" s="144"/>
      <c r="F20" s="144"/>
      <c r="G20" s="144"/>
      <c r="H20" s="154"/>
      <c r="I20" s="144"/>
      <c r="J20" s="144"/>
      <c r="K20" s="144"/>
      <c r="L20" s="154"/>
      <c r="M20" s="144"/>
      <c r="N20" s="144"/>
      <c r="O20" s="155">
        <f>Table3[[#This Row],[UNIT PRICE]]*Table3[[#This Row],[QTY]]</f>
        <v>0</v>
      </c>
      <c r="P20" s="144"/>
      <c r="Q20" s="144"/>
      <c r="R20" s="156"/>
      <c r="S20" s="144"/>
      <c r="T20" s="157"/>
      <c r="U20" s="158"/>
      <c r="V20" s="144"/>
      <c r="W20" s="144"/>
      <c r="X20" s="144"/>
      <c r="Y20" s="144"/>
      <c r="Z20" s="159"/>
      <c r="AA20" s="159"/>
      <c r="AB20" s="159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GW20" s="25"/>
      <c r="HD20" s="26"/>
      <c r="HE20" s="91" t="s">
        <v>269</v>
      </c>
      <c r="HF20" s="57" t="s">
        <v>358</v>
      </c>
      <c r="HG20" s="57" t="s">
        <v>390</v>
      </c>
      <c r="HH20" s="25"/>
      <c r="HI20" s="57" t="s">
        <v>247</v>
      </c>
      <c r="HJ20" s="25"/>
      <c r="HK20" s="25"/>
      <c r="HL20" s="25"/>
      <c r="HX20" s="32"/>
      <c r="HY20" s="32"/>
      <c r="HZ20" s="32"/>
      <c r="IA20" s="32"/>
      <c r="IB20" s="32"/>
      <c r="IC20" s="31" t="s">
        <v>200</v>
      </c>
      <c r="ID20" s="31"/>
      <c r="IE20" s="32"/>
      <c r="IF20" s="32"/>
      <c r="IG20" s="26"/>
      <c r="IH20" s="26"/>
      <c r="II20" s="26"/>
      <c r="IJ20" s="26"/>
      <c r="IK20" s="26"/>
      <c r="IL20" s="26"/>
      <c r="IM20" s="32"/>
      <c r="IN20" s="32"/>
    </row>
    <row r="21" spans="2:248" s="24" customFormat="1" ht="54.6" customHeight="1" x14ac:dyDescent="0.25">
      <c r="B21" s="144"/>
      <c r="C21" s="144"/>
      <c r="D21" s="144"/>
      <c r="E21" s="144"/>
      <c r="F21" s="144"/>
      <c r="G21" s="144"/>
      <c r="H21" s="154"/>
      <c r="I21" s="144"/>
      <c r="J21" s="144"/>
      <c r="K21" s="144"/>
      <c r="L21" s="154"/>
      <c r="M21" s="144"/>
      <c r="N21" s="144"/>
      <c r="O21" s="155">
        <f>Table3[[#This Row],[UNIT PRICE]]*Table3[[#This Row],[QTY]]</f>
        <v>0</v>
      </c>
      <c r="P21" s="144"/>
      <c r="Q21" s="144"/>
      <c r="R21" s="156"/>
      <c r="S21" s="144"/>
      <c r="T21" s="157"/>
      <c r="U21" s="158"/>
      <c r="V21" s="144"/>
      <c r="W21" s="144"/>
      <c r="X21" s="144"/>
      <c r="Y21" s="144"/>
      <c r="Z21" s="159"/>
      <c r="AA21" s="159"/>
      <c r="AB21" s="159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GW21" s="25"/>
      <c r="HD21" s="26"/>
      <c r="HE21" s="91" t="s">
        <v>270</v>
      </c>
      <c r="HF21" s="57" t="s">
        <v>359</v>
      </c>
      <c r="HG21" s="100" t="s">
        <v>391</v>
      </c>
      <c r="HH21" s="25"/>
      <c r="HI21" s="57" t="s">
        <v>248</v>
      </c>
      <c r="HJ21" s="25"/>
      <c r="HK21" s="25"/>
      <c r="HL21" s="25"/>
      <c r="HX21" s="32"/>
      <c r="HY21" s="32"/>
      <c r="HZ21" s="32"/>
      <c r="IA21" s="32"/>
      <c r="IB21" s="32"/>
      <c r="IC21" s="32"/>
      <c r="ID21" s="32"/>
      <c r="IE21" s="32"/>
      <c r="IF21" s="32"/>
      <c r="IG21" s="26"/>
      <c r="IH21" s="26"/>
      <c r="II21" s="26"/>
      <c r="IJ21" s="26"/>
      <c r="IK21" s="26"/>
      <c r="IL21" s="26"/>
      <c r="IM21" s="32"/>
      <c r="IN21" s="32"/>
    </row>
    <row r="22" spans="2:248" s="24" customFormat="1" ht="54.6" customHeight="1" x14ac:dyDescent="0.25">
      <c r="B22" s="144"/>
      <c r="C22" s="144"/>
      <c r="D22" s="144"/>
      <c r="E22" s="144"/>
      <c r="F22" s="144"/>
      <c r="G22" s="144"/>
      <c r="H22" s="154"/>
      <c r="I22" s="144"/>
      <c r="J22" s="144"/>
      <c r="K22" s="144"/>
      <c r="L22" s="154"/>
      <c r="M22" s="144"/>
      <c r="N22" s="144"/>
      <c r="O22" s="155">
        <f>Table3[[#This Row],[UNIT PRICE]]*Table3[[#This Row],[QTY]]</f>
        <v>0</v>
      </c>
      <c r="P22" s="144"/>
      <c r="Q22" s="144"/>
      <c r="R22" s="156"/>
      <c r="S22" s="144"/>
      <c r="T22" s="157"/>
      <c r="U22" s="158"/>
      <c r="V22" s="144"/>
      <c r="W22" s="144"/>
      <c r="X22" s="144"/>
      <c r="Y22" s="144"/>
      <c r="Z22" s="159"/>
      <c r="AA22" s="159"/>
      <c r="AB22" s="159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GW22" s="25"/>
      <c r="HD22" s="26"/>
      <c r="HE22" s="91" t="s">
        <v>271</v>
      </c>
      <c r="HF22" s="57" t="s">
        <v>360</v>
      </c>
      <c r="HG22" s="100" t="s">
        <v>392</v>
      </c>
      <c r="HH22" s="25"/>
      <c r="HI22" s="57" t="s">
        <v>249</v>
      </c>
      <c r="HJ22" s="25"/>
      <c r="HK22" s="25"/>
      <c r="HL22" s="25"/>
      <c r="HX22" s="32"/>
      <c r="HY22" s="32"/>
      <c r="HZ22" s="32"/>
      <c r="IA22" s="32"/>
      <c r="IB22" s="32"/>
      <c r="IC22" s="32"/>
      <c r="ID22" s="32"/>
      <c r="IE22" s="32"/>
      <c r="IF22" s="32"/>
      <c r="IG22" s="26"/>
      <c r="IH22" s="26"/>
      <c r="II22" s="26"/>
      <c r="IJ22" s="26"/>
      <c r="IK22" s="26"/>
      <c r="IL22" s="26"/>
      <c r="IM22" s="32"/>
      <c r="IN22" s="32"/>
    </row>
    <row r="23" spans="2:248" s="24" customFormat="1" ht="54.6" customHeight="1" x14ac:dyDescent="0.25">
      <c r="B23" s="144"/>
      <c r="C23" s="144"/>
      <c r="D23" s="144"/>
      <c r="E23" s="144"/>
      <c r="F23" s="144"/>
      <c r="G23" s="144"/>
      <c r="H23" s="154"/>
      <c r="I23" s="144"/>
      <c r="J23" s="144"/>
      <c r="K23" s="144"/>
      <c r="L23" s="154"/>
      <c r="M23" s="144"/>
      <c r="N23" s="144"/>
      <c r="O23" s="155">
        <f>Table3[[#This Row],[UNIT PRICE]]*Table3[[#This Row],[QTY]]</f>
        <v>0</v>
      </c>
      <c r="P23" s="144"/>
      <c r="Q23" s="144"/>
      <c r="R23" s="156"/>
      <c r="S23" s="144"/>
      <c r="T23" s="157"/>
      <c r="U23" s="158"/>
      <c r="V23" s="144"/>
      <c r="W23" s="144"/>
      <c r="X23" s="144"/>
      <c r="Y23" s="144"/>
      <c r="Z23" s="159"/>
      <c r="AA23" s="159"/>
      <c r="AB23" s="159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GW23" s="25"/>
      <c r="HD23" s="26"/>
      <c r="HE23" s="91" t="s">
        <v>272</v>
      </c>
      <c r="HF23" s="57" t="s">
        <v>361</v>
      </c>
      <c r="HG23" s="25"/>
      <c r="HH23" s="25"/>
      <c r="HI23" s="25"/>
      <c r="HJ23" s="25"/>
      <c r="HK23" s="25"/>
      <c r="HL23" s="25"/>
      <c r="HX23" s="32"/>
      <c r="HY23" s="32"/>
      <c r="HZ23" s="32"/>
      <c r="IA23" s="32"/>
      <c r="IB23" s="32"/>
      <c r="IC23" s="32"/>
      <c r="ID23" s="32"/>
      <c r="IE23" s="32"/>
      <c r="IF23" s="32"/>
      <c r="IG23" s="26"/>
      <c r="IH23" s="26"/>
      <c r="II23" s="26"/>
      <c r="IJ23" s="26"/>
      <c r="IK23" s="26"/>
      <c r="IL23" s="26"/>
      <c r="IM23" s="32"/>
      <c r="IN23" s="32"/>
    </row>
    <row r="24" spans="2:248" s="24" customFormat="1" ht="54.6" customHeight="1" x14ac:dyDescent="0.25">
      <c r="B24" s="144"/>
      <c r="C24" s="144"/>
      <c r="D24" s="144"/>
      <c r="E24" s="144"/>
      <c r="F24" s="144"/>
      <c r="G24" s="144"/>
      <c r="H24" s="154"/>
      <c r="I24" s="144"/>
      <c r="J24" s="144"/>
      <c r="K24" s="144"/>
      <c r="L24" s="154"/>
      <c r="M24" s="144"/>
      <c r="N24" s="144"/>
      <c r="O24" s="155">
        <f>Table3[[#This Row],[UNIT PRICE]]*Table3[[#This Row],[QTY]]</f>
        <v>0</v>
      </c>
      <c r="P24" s="144"/>
      <c r="Q24" s="144"/>
      <c r="R24" s="156"/>
      <c r="S24" s="144"/>
      <c r="T24" s="157"/>
      <c r="U24" s="158"/>
      <c r="V24" s="144"/>
      <c r="W24" s="144"/>
      <c r="X24" s="144"/>
      <c r="Y24" s="144"/>
      <c r="Z24" s="159"/>
      <c r="AA24" s="159"/>
      <c r="AB24" s="159"/>
      <c r="AC24" s="144"/>
      <c r="AD24" s="144"/>
      <c r="AE24" s="144"/>
      <c r="AF24" s="144"/>
      <c r="AG24" s="144"/>
      <c r="AH24" s="144"/>
      <c r="AI24" s="144"/>
      <c r="AJ24" s="144"/>
      <c r="AK24" s="144"/>
      <c r="AL24" s="144"/>
      <c r="GW24" s="25"/>
      <c r="HD24" s="26"/>
      <c r="HE24" s="91" t="s">
        <v>273</v>
      </c>
      <c r="HF24" s="57" t="s">
        <v>362</v>
      </c>
      <c r="HG24" s="25"/>
      <c r="HH24" s="25"/>
      <c r="HI24" s="25"/>
      <c r="HJ24" s="25"/>
      <c r="HK24" s="25"/>
      <c r="HL24" s="25"/>
      <c r="HX24" s="32"/>
      <c r="HY24" s="32"/>
      <c r="HZ24" s="32"/>
      <c r="IA24" s="32"/>
      <c r="IB24" s="32"/>
      <c r="IC24" s="32"/>
      <c r="ID24" s="32"/>
      <c r="IE24" s="32"/>
      <c r="IF24" s="32"/>
      <c r="IG24" s="26"/>
      <c r="IH24" s="26"/>
      <c r="II24" s="26"/>
      <c r="IJ24" s="26"/>
      <c r="IK24" s="26"/>
      <c r="IL24" s="26"/>
      <c r="IM24" s="32"/>
      <c r="IN24" s="32"/>
    </row>
    <row r="25" spans="2:248" s="24" customFormat="1" ht="54.6" customHeight="1" x14ac:dyDescent="0.25">
      <c r="B25" s="144"/>
      <c r="C25" s="144"/>
      <c r="D25" s="144"/>
      <c r="E25" s="144"/>
      <c r="F25" s="144"/>
      <c r="G25" s="144"/>
      <c r="H25" s="154"/>
      <c r="I25" s="144"/>
      <c r="J25" s="144"/>
      <c r="K25" s="144"/>
      <c r="L25" s="154"/>
      <c r="M25" s="144"/>
      <c r="N25" s="144"/>
      <c r="O25" s="155">
        <f>Table3[[#This Row],[UNIT PRICE]]*Table3[[#This Row],[QTY]]</f>
        <v>0</v>
      </c>
      <c r="P25" s="144"/>
      <c r="Q25" s="144"/>
      <c r="R25" s="156"/>
      <c r="S25" s="144"/>
      <c r="T25" s="157"/>
      <c r="U25" s="158"/>
      <c r="V25" s="144"/>
      <c r="W25" s="144"/>
      <c r="X25" s="144"/>
      <c r="Y25" s="144"/>
      <c r="Z25" s="159"/>
      <c r="AA25" s="159"/>
      <c r="AB25" s="159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GW25" s="25"/>
      <c r="HD25" s="26"/>
      <c r="HE25" s="91" t="s">
        <v>274</v>
      </c>
      <c r="HF25" s="57" t="s">
        <v>363</v>
      </c>
      <c r="HG25" s="25"/>
      <c r="HH25" s="25"/>
      <c r="HI25" s="25"/>
      <c r="HJ25" s="25"/>
      <c r="HK25" s="25"/>
      <c r="HL25" s="25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32"/>
      <c r="IN25" s="32"/>
    </row>
    <row r="26" spans="2:248" s="24" customFormat="1" ht="54.6" customHeight="1" x14ac:dyDescent="0.25">
      <c r="B26" s="144"/>
      <c r="C26" s="144"/>
      <c r="D26" s="144"/>
      <c r="E26" s="144"/>
      <c r="F26" s="144"/>
      <c r="G26" s="144"/>
      <c r="H26" s="154"/>
      <c r="I26" s="144"/>
      <c r="J26" s="144"/>
      <c r="K26" s="144"/>
      <c r="L26" s="154"/>
      <c r="M26" s="144"/>
      <c r="N26" s="144"/>
      <c r="O26" s="155">
        <f>Table3[[#This Row],[UNIT PRICE]]*Table3[[#This Row],[QTY]]</f>
        <v>0</v>
      </c>
      <c r="P26" s="144"/>
      <c r="Q26" s="144"/>
      <c r="R26" s="156"/>
      <c r="S26" s="144"/>
      <c r="T26" s="157"/>
      <c r="U26" s="158"/>
      <c r="V26" s="144"/>
      <c r="W26" s="144"/>
      <c r="X26" s="144"/>
      <c r="Y26" s="144"/>
      <c r="Z26" s="159"/>
      <c r="AA26" s="159"/>
      <c r="AB26" s="159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GW26" s="25"/>
      <c r="HD26" s="26"/>
      <c r="HE26" s="91" t="s">
        <v>275</v>
      </c>
      <c r="HF26" s="57" t="s">
        <v>364</v>
      </c>
      <c r="HG26" s="25"/>
      <c r="HH26" s="25"/>
      <c r="HI26" s="25"/>
      <c r="HJ26" s="25"/>
      <c r="HK26" s="25"/>
      <c r="HL26" s="25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32"/>
      <c r="IN26" s="32"/>
    </row>
    <row r="27" spans="2:248" s="24" customFormat="1" ht="54.6" customHeight="1" x14ac:dyDescent="0.25">
      <c r="B27" s="144"/>
      <c r="C27" s="144"/>
      <c r="D27" s="144"/>
      <c r="E27" s="144"/>
      <c r="F27" s="144"/>
      <c r="G27" s="144"/>
      <c r="H27" s="154"/>
      <c r="I27" s="144"/>
      <c r="J27" s="144"/>
      <c r="K27" s="144"/>
      <c r="L27" s="154"/>
      <c r="M27" s="144"/>
      <c r="N27" s="144"/>
      <c r="O27" s="155">
        <f>Table3[[#This Row],[UNIT PRICE]]*Table3[[#This Row],[QTY]]</f>
        <v>0</v>
      </c>
      <c r="P27" s="144"/>
      <c r="Q27" s="144"/>
      <c r="R27" s="156"/>
      <c r="S27" s="144"/>
      <c r="T27" s="157"/>
      <c r="U27" s="158"/>
      <c r="V27" s="144"/>
      <c r="W27" s="144"/>
      <c r="X27" s="144"/>
      <c r="Y27" s="144"/>
      <c r="Z27" s="159"/>
      <c r="AA27" s="159"/>
      <c r="AB27" s="159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GW27" s="25"/>
      <c r="HD27" s="26"/>
      <c r="HE27" s="91" t="s">
        <v>276</v>
      </c>
      <c r="HF27" s="57" t="s">
        <v>365</v>
      </c>
      <c r="HG27" s="25"/>
      <c r="HH27" s="25"/>
      <c r="HI27" s="25"/>
      <c r="HJ27" s="25"/>
      <c r="HK27" s="25"/>
      <c r="HL27" s="25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32"/>
      <c r="IN27" s="32"/>
    </row>
    <row r="28" spans="2:248" s="24" customFormat="1" ht="54.6" customHeight="1" x14ac:dyDescent="0.25">
      <c r="B28" s="144"/>
      <c r="C28" s="144"/>
      <c r="D28" s="144"/>
      <c r="E28" s="144"/>
      <c r="F28" s="144"/>
      <c r="G28" s="144"/>
      <c r="H28" s="154"/>
      <c r="I28" s="144"/>
      <c r="J28" s="144"/>
      <c r="K28" s="144"/>
      <c r="L28" s="154"/>
      <c r="M28" s="144"/>
      <c r="N28" s="144"/>
      <c r="O28" s="155">
        <f>Table3[[#This Row],[UNIT PRICE]]*Table3[[#This Row],[QTY]]</f>
        <v>0</v>
      </c>
      <c r="P28" s="144"/>
      <c r="Q28" s="144"/>
      <c r="R28" s="156"/>
      <c r="S28" s="144"/>
      <c r="T28" s="157"/>
      <c r="U28" s="158"/>
      <c r="V28" s="144"/>
      <c r="W28" s="144"/>
      <c r="X28" s="144"/>
      <c r="Y28" s="144"/>
      <c r="Z28" s="159"/>
      <c r="AA28" s="159"/>
      <c r="AB28" s="159"/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GW28" s="25"/>
      <c r="HD28" s="26"/>
      <c r="HE28" s="91" t="s">
        <v>277</v>
      </c>
      <c r="HF28" s="57" t="s">
        <v>366</v>
      </c>
      <c r="HG28" s="25"/>
      <c r="HH28" s="25"/>
      <c r="HI28" s="25"/>
      <c r="HJ28" s="25"/>
      <c r="HK28" s="25"/>
      <c r="HL28" s="25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32"/>
      <c r="IN28" s="32"/>
    </row>
    <row r="29" spans="2:248" s="24" customFormat="1" ht="54.6" customHeight="1" x14ac:dyDescent="0.25">
      <c r="B29" s="144"/>
      <c r="C29" s="144"/>
      <c r="D29" s="144"/>
      <c r="E29" s="144"/>
      <c r="F29" s="144"/>
      <c r="G29" s="144"/>
      <c r="H29" s="154"/>
      <c r="I29" s="144"/>
      <c r="J29" s="144"/>
      <c r="K29" s="144"/>
      <c r="L29" s="154"/>
      <c r="M29" s="144"/>
      <c r="N29" s="144"/>
      <c r="O29" s="155">
        <f>Table3[[#This Row],[UNIT PRICE]]*Table3[[#This Row],[QTY]]</f>
        <v>0</v>
      </c>
      <c r="P29" s="144"/>
      <c r="Q29" s="144"/>
      <c r="R29" s="156"/>
      <c r="S29" s="144"/>
      <c r="T29" s="157"/>
      <c r="U29" s="158"/>
      <c r="V29" s="144"/>
      <c r="W29" s="144"/>
      <c r="X29" s="144"/>
      <c r="Y29" s="144"/>
      <c r="Z29" s="159"/>
      <c r="AA29" s="159"/>
      <c r="AB29" s="159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GW29" s="25"/>
      <c r="HD29" s="26"/>
      <c r="HE29" s="91" t="s">
        <v>278</v>
      </c>
      <c r="HF29" s="57" t="s">
        <v>367</v>
      </c>
      <c r="HG29" s="25"/>
      <c r="HH29" s="25"/>
      <c r="HI29" s="25"/>
      <c r="HJ29" s="25"/>
      <c r="HK29" s="25"/>
      <c r="HL29" s="25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32"/>
      <c r="IN29" s="32"/>
    </row>
    <row r="30" spans="2:248" s="24" customFormat="1" ht="54.6" customHeight="1" x14ac:dyDescent="0.25">
      <c r="B30" s="144"/>
      <c r="C30" s="144"/>
      <c r="D30" s="144"/>
      <c r="E30" s="144"/>
      <c r="F30" s="144"/>
      <c r="G30" s="144"/>
      <c r="H30" s="154"/>
      <c r="I30" s="144"/>
      <c r="J30" s="144"/>
      <c r="K30" s="144"/>
      <c r="L30" s="154"/>
      <c r="M30" s="144"/>
      <c r="N30" s="144"/>
      <c r="O30" s="155">
        <f>Table3[[#This Row],[UNIT PRICE]]*Table3[[#This Row],[QTY]]</f>
        <v>0</v>
      </c>
      <c r="P30" s="144"/>
      <c r="Q30" s="144"/>
      <c r="R30" s="156"/>
      <c r="S30" s="144"/>
      <c r="T30" s="157"/>
      <c r="U30" s="158"/>
      <c r="V30" s="144"/>
      <c r="W30" s="144"/>
      <c r="X30" s="144"/>
      <c r="Y30" s="144"/>
      <c r="Z30" s="159"/>
      <c r="AA30" s="159"/>
      <c r="AB30" s="159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GW30" s="25"/>
      <c r="HD30" s="26"/>
      <c r="HE30" s="91" t="s">
        <v>279</v>
      </c>
      <c r="HF30" s="57" t="s">
        <v>368</v>
      </c>
      <c r="HG30" s="25"/>
      <c r="HH30" s="25"/>
      <c r="HI30" s="25"/>
      <c r="HJ30" s="25"/>
      <c r="HK30" s="25"/>
      <c r="HL30" s="25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32"/>
      <c r="IN30" s="32"/>
    </row>
    <row r="31" spans="2:248" s="24" customFormat="1" ht="54.6" customHeight="1" x14ac:dyDescent="0.25">
      <c r="B31" s="144"/>
      <c r="C31" s="144"/>
      <c r="D31" s="144"/>
      <c r="E31" s="144"/>
      <c r="F31" s="144"/>
      <c r="G31" s="144"/>
      <c r="H31" s="154"/>
      <c r="I31" s="144"/>
      <c r="J31" s="144"/>
      <c r="K31" s="144"/>
      <c r="L31" s="154"/>
      <c r="M31" s="144"/>
      <c r="N31" s="144"/>
      <c r="O31" s="155">
        <f>Table3[[#This Row],[UNIT PRICE]]*Table3[[#This Row],[QTY]]</f>
        <v>0</v>
      </c>
      <c r="P31" s="144"/>
      <c r="Q31" s="144"/>
      <c r="R31" s="156"/>
      <c r="S31" s="144"/>
      <c r="T31" s="157"/>
      <c r="U31" s="158"/>
      <c r="V31" s="144"/>
      <c r="W31" s="144"/>
      <c r="X31" s="144"/>
      <c r="Y31" s="144"/>
      <c r="Z31" s="159"/>
      <c r="AA31" s="159"/>
      <c r="AB31" s="159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GW31" s="25"/>
      <c r="HD31" s="26"/>
      <c r="HE31" s="91" t="s">
        <v>280</v>
      </c>
      <c r="HF31" s="57" t="s">
        <v>369</v>
      </c>
      <c r="HG31" s="25"/>
      <c r="HH31" s="25"/>
      <c r="HI31" s="25"/>
      <c r="HJ31" s="25"/>
      <c r="HK31" s="25"/>
      <c r="HL31" s="25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32"/>
      <c r="IN31" s="32"/>
    </row>
    <row r="32" spans="2:248" s="24" customFormat="1" ht="54.6" customHeight="1" x14ac:dyDescent="0.25">
      <c r="B32" s="144"/>
      <c r="C32" s="144"/>
      <c r="D32" s="144"/>
      <c r="E32" s="144"/>
      <c r="F32" s="144"/>
      <c r="G32" s="144"/>
      <c r="H32" s="154"/>
      <c r="I32" s="144"/>
      <c r="J32" s="144"/>
      <c r="K32" s="144"/>
      <c r="L32" s="154"/>
      <c r="M32" s="144"/>
      <c r="N32" s="144"/>
      <c r="O32" s="155">
        <f>Table3[[#This Row],[UNIT PRICE]]*Table3[[#This Row],[QTY]]</f>
        <v>0</v>
      </c>
      <c r="P32" s="144"/>
      <c r="Q32" s="144"/>
      <c r="R32" s="156"/>
      <c r="S32" s="144"/>
      <c r="T32" s="157"/>
      <c r="U32" s="158"/>
      <c r="V32" s="144"/>
      <c r="W32" s="144"/>
      <c r="X32" s="144"/>
      <c r="Y32" s="144"/>
      <c r="Z32" s="159"/>
      <c r="AA32" s="159"/>
      <c r="AB32" s="159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GW32" s="25"/>
      <c r="HD32" s="26"/>
      <c r="HE32" s="91" t="s">
        <v>281</v>
      </c>
      <c r="HF32" s="57" t="s">
        <v>370</v>
      </c>
      <c r="HG32" s="25"/>
      <c r="HH32" s="25"/>
      <c r="HI32" s="25"/>
      <c r="HJ32" s="25"/>
      <c r="HK32" s="25"/>
      <c r="HL32" s="25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32"/>
      <c r="IN32" s="32"/>
    </row>
    <row r="33" spans="2:248" s="24" customFormat="1" ht="54.6" customHeight="1" x14ac:dyDescent="0.25">
      <c r="B33" s="144"/>
      <c r="C33" s="144"/>
      <c r="D33" s="144"/>
      <c r="E33" s="144"/>
      <c r="F33" s="144"/>
      <c r="G33" s="144"/>
      <c r="H33" s="154"/>
      <c r="I33" s="144"/>
      <c r="J33" s="144"/>
      <c r="K33" s="144"/>
      <c r="L33" s="154"/>
      <c r="M33" s="144"/>
      <c r="N33" s="144"/>
      <c r="O33" s="155">
        <f>Table3[[#This Row],[UNIT PRICE]]*Table3[[#This Row],[QTY]]</f>
        <v>0</v>
      </c>
      <c r="P33" s="144"/>
      <c r="Q33" s="144"/>
      <c r="R33" s="156"/>
      <c r="S33" s="144"/>
      <c r="T33" s="157"/>
      <c r="U33" s="158"/>
      <c r="V33" s="144"/>
      <c r="W33" s="144"/>
      <c r="X33" s="144"/>
      <c r="Y33" s="144"/>
      <c r="Z33" s="159"/>
      <c r="AA33" s="159"/>
      <c r="AB33" s="159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GW33" s="25"/>
      <c r="HD33" s="26"/>
      <c r="HE33" s="91" t="s">
        <v>282</v>
      </c>
      <c r="HF33" s="57" t="s">
        <v>371</v>
      </c>
      <c r="HG33" s="25"/>
      <c r="HH33" s="25"/>
      <c r="HI33" s="25"/>
      <c r="HJ33" s="25"/>
      <c r="HK33" s="25"/>
      <c r="HL33" s="25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32"/>
      <c r="IN33" s="32"/>
    </row>
    <row r="34" spans="2:248" s="24" customFormat="1" ht="54.6" customHeight="1" x14ac:dyDescent="0.25">
      <c r="B34" s="144"/>
      <c r="C34" s="144"/>
      <c r="D34" s="144"/>
      <c r="E34" s="144"/>
      <c r="F34" s="144"/>
      <c r="G34" s="144"/>
      <c r="H34" s="154"/>
      <c r="I34" s="144"/>
      <c r="J34" s="144"/>
      <c r="K34" s="144"/>
      <c r="L34" s="154"/>
      <c r="M34" s="144"/>
      <c r="N34" s="144"/>
      <c r="O34" s="155">
        <f>Table3[[#This Row],[UNIT PRICE]]*Table3[[#This Row],[QTY]]</f>
        <v>0</v>
      </c>
      <c r="P34" s="144"/>
      <c r="Q34" s="144"/>
      <c r="R34" s="156"/>
      <c r="S34" s="144"/>
      <c r="T34" s="157"/>
      <c r="U34" s="158"/>
      <c r="V34" s="144"/>
      <c r="W34" s="144"/>
      <c r="X34" s="144"/>
      <c r="Y34" s="144"/>
      <c r="Z34" s="159"/>
      <c r="AA34" s="159"/>
      <c r="AB34" s="159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GW34" s="25"/>
      <c r="HD34" s="26"/>
      <c r="HE34" s="91" t="s">
        <v>283</v>
      </c>
      <c r="HF34" s="57" t="s">
        <v>372</v>
      </c>
      <c r="HG34" s="25"/>
      <c r="HH34" s="25"/>
      <c r="HI34" s="25"/>
      <c r="HJ34" s="25"/>
      <c r="HK34" s="25"/>
      <c r="HL34" s="25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32"/>
      <c r="IN34" s="32"/>
    </row>
    <row r="35" spans="2:248" s="24" customFormat="1" ht="54.6" customHeight="1" x14ac:dyDescent="0.25">
      <c r="B35" s="144"/>
      <c r="C35" s="144"/>
      <c r="D35" s="144"/>
      <c r="E35" s="144"/>
      <c r="F35" s="144"/>
      <c r="G35" s="144"/>
      <c r="H35" s="154"/>
      <c r="I35" s="144"/>
      <c r="J35" s="144"/>
      <c r="K35" s="144"/>
      <c r="L35" s="154"/>
      <c r="M35" s="144"/>
      <c r="N35" s="144"/>
      <c r="O35" s="155">
        <f>Table3[[#This Row],[UNIT PRICE]]*Table3[[#This Row],[QTY]]</f>
        <v>0</v>
      </c>
      <c r="P35" s="144"/>
      <c r="Q35" s="144"/>
      <c r="R35" s="156"/>
      <c r="S35" s="144"/>
      <c r="T35" s="157"/>
      <c r="U35" s="158"/>
      <c r="V35" s="144"/>
      <c r="W35" s="144"/>
      <c r="X35" s="144"/>
      <c r="Y35" s="144"/>
      <c r="Z35" s="159"/>
      <c r="AA35" s="159"/>
      <c r="AB35" s="159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GW35" s="25"/>
      <c r="HD35" s="26"/>
      <c r="HE35" s="25"/>
      <c r="HF35" s="25"/>
      <c r="HG35" s="25"/>
      <c r="HH35" s="25"/>
      <c r="HI35" s="25"/>
      <c r="HJ35" s="25"/>
      <c r="HK35" s="25"/>
      <c r="HL35" s="25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32"/>
      <c r="IN35" s="32"/>
    </row>
    <row r="36" spans="2:248" s="24" customFormat="1" ht="54.6" customHeight="1" x14ac:dyDescent="0.25">
      <c r="B36" s="144"/>
      <c r="C36" s="144"/>
      <c r="D36" s="144"/>
      <c r="E36" s="144"/>
      <c r="F36" s="144"/>
      <c r="G36" s="144"/>
      <c r="H36" s="154"/>
      <c r="I36" s="144"/>
      <c r="J36" s="144"/>
      <c r="K36" s="144"/>
      <c r="L36" s="154"/>
      <c r="M36" s="144"/>
      <c r="N36" s="144"/>
      <c r="O36" s="155">
        <f>Table3[[#This Row],[UNIT PRICE]]*Table3[[#This Row],[QTY]]</f>
        <v>0</v>
      </c>
      <c r="P36" s="144"/>
      <c r="Q36" s="144"/>
      <c r="R36" s="156"/>
      <c r="S36" s="144"/>
      <c r="T36" s="157"/>
      <c r="U36" s="158"/>
      <c r="V36" s="144"/>
      <c r="W36" s="144"/>
      <c r="X36" s="144"/>
      <c r="Y36" s="144"/>
      <c r="Z36" s="159"/>
      <c r="AA36" s="159"/>
      <c r="AB36" s="159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GW36" s="25"/>
      <c r="HD36" s="26"/>
      <c r="HE36" s="25"/>
      <c r="HF36" s="25"/>
      <c r="HG36" s="25"/>
      <c r="HH36" s="25"/>
      <c r="HI36" s="25"/>
      <c r="HJ36" s="25"/>
      <c r="HK36" s="25"/>
      <c r="HL36" s="25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32"/>
      <c r="IN36" s="32"/>
    </row>
    <row r="37" spans="2:248" s="24" customFormat="1" ht="54.6" customHeight="1" x14ac:dyDescent="0.25">
      <c r="B37" s="144"/>
      <c r="C37" s="144"/>
      <c r="D37" s="144"/>
      <c r="E37" s="144"/>
      <c r="F37" s="144"/>
      <c r="G37" s="144"/>
      <c r="H37" s="154"/>
      <c r="I37" s="144"/>
      <c r="J37" s="144"/>
      <c r="K37" s="144"/>
      <c r="L37" s="154"/>
      <c r="M37" s="144"/>
      <c r="N37" s="144"/>
      <c r="O37" s="155">
        <f>Table3[[#This Row],[UNIT PRICE]]*Table3[[#This Row],[QTY]]</f>
        <v>0</v>
      </c>
      <c r="P37" s="144"/>
      <c r="Q37" s="144"/>
      <c r="R37" s="156"/>
      <c r="S37" s="144"/>
      <c r="T37" s="157"/>
      <c r="U37" s="158"/>
      <c r="V37" s="144"/>
      <c r="W37" s="144"/>
      <c r="X37" s="144"/>
      <c r="Y37" s="144"/>
      <c r="Z37" s="159"/>
      <c r="AA37" s="159"/>
      <c r="AB37" s="159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GW37" s="25"/>
      <c r="HD37" s="26"/>
      <c r="HE37" s="25"/>
      <c r="HF37" s="25"/>
      <c r="HG37" s="25"/>
      <c r="HH37" s="25"/>
      <c r="HI37" s="25"/>
      <c r="HJ37" s="25"/>
      <c r="HK37" s="25"/>
      <c r="HL37" s="25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32"/>
      <c r="IN37" s="32"/>
    </row>
    <row r="38" spans="2:248" s="24" customFormat="1" ht="54.6" customHeight="1" x14ac:dyDescent="0.25">
      <c r="B38" s="144"/>
      <c r="C38" s="144"/>
      <c r="D38" s="144"/>
      <c r="E38" s="144"/>
      <c r="F38" s="144"/>
      <c r="G38" s="144"/>
      <c r="H38" s="154"/>
      <c r="I38" s="144"/>
      <c r="J38" s="144"/>
      <c r="K38" s="144"/>
      <c r="L38" s="154"/>
      <c r="M38" s="144"/>
      <c r="N38" s="144"/>
      <c r="O38" s="155">
        <f>Table3[[#This Row],[UNIT PRICE]]*Table3[[#This Row],[QTY]]</f>
        <v>0</v>
      </c>
      <c r="P38" s="144"/>
      <c r="Q38" s="144"/>
      <c r="R38" s="156"/>
      <c r="S38" s="144"/>
      <c r="T38" s="157"/>
      <c r="U38" s="158"/>
      <c r="V38" s="144"/>
      <c r="W38" s="144"/>
      <c r="X38" s="144"/>
      <c r="Y38" s="144"/>
      <c r="Z38" s="159"/>
      <c r="AA38" s="159"/>
      <c r="AB38" s="159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GW38" s="25"/>
      <c r="HD38" s="26"/>
      <c r="HE38" s="25"/>
      <c r="HF38" s="25"/>
      <c r="HG38" s="25"/>
      <c r="HH38" s="25"/>
      <c r="HI38" s="25"/>
      <c r="HJ38" s="25"/>
      <c r="HK38" s="25"/>
      <c r="HL38" s="25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32"/>
      <c r="IN38" s="32"/>
    </row>
    <row r="39" spans="2:248" s="24" customFormat="1" ht="54.6" customHeight="1" x14ac:dyDescent="0.25">
      <c r="B39" s="144"/>
      <c r="C39" s="144"/>
      <c r="D39" s="144"/>
      <c r="E39" s="144"/>
      <c r="F39" s="144"/>
      <c r="G39" s="144"/>
      <c r="H39" s="154"/>
      <c r="I39" s="144"/>
      <c r="J39" s="144"/>
      <c r="K39" s="144"/>
      <c r="L39" s="154"/>
      <c r="M39" s="144"/>
      <c r="N39" s="144"/>
      <c r="O39" s="155">
        <f>Table3[[#This Row],[UNIT PRICE]]*Table3[[#This Row],[QTY]]</f>
        <v>0</v>
      </c>
      <c r="P39" s="144"/>
      <c r="Q39" s="144"/>
      <c r="R39" s="156"/>
      <c r="S39" s="144"/>
      <c r="T39" s="157"/>
      <c r="U39" s="158"/>
      <c r="V39" s="144"/>
      <c r="W39" s="144"/>
      <c r="X39" s="144"/>
      <c r="Y39" s="144"/>
      <c r="Z39" s="159"/>
      <c r="AA39" s="159"/>
      <c r="AB39" s="159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GW39" s="25"/>
      <c r="HD39" s="26"/>
      <c r="HE39" s="25"/>
      <c r="HF39" s="25"/>
      <c r="HG39" s="25"/>
      <c r="HH39" s="25"/>
      <c r="HI39" s="25"/>
      <c r="HJ39" s="25"/>
      <c r="HK39" s="25"/>
      <c r="HL39" s="25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32"/>
      <c r="IN39" s="32"/>
    </row>
    <row r="40" spans="2:248" s="24" customFormat="1" ht="54.6" customHeight="1" x14ac:dyDescent="0.25">
      <c r="B40" s="144"/>
      <c r="C40" s="144"/>
      <c r="D40" s="144"/>
      <c r="E40" s="144"/>
      <c r="F40" s="144"/>
      <c r="G40" s="144"/>
      <c r="H40" s="154"/>
      <c r="I40" s="144"/>
      <c r="J40" s="144"/>
      <c r="K40" s="144"/>
      <c r="L40" s="154"/>
      <c r="M40" s="144"/>
      <c r="N40" s="144"/>
      <c r="O40" s="155">
        <f>Table3[[#This Row],[UNIT PRICE]]*Table3[[#This Row],[QTY]]</f>
        <v>0</v>
      </c>
      <c r="P40" s="144"/>
      <c r="Q40" s="144"/>
      <c r="R40" s="156"/>
      <c r="S40" s="144"/>
      <c r="T40" s="157"/>
      <c r="U40" s="158"/>
      <c r="V40" s="144"/>
      <c r="W40" s="144"/>
      <c r="X40" s="144"/>
      <c r="Y40" s="144"/>
      <c r="Z40" s="159"/>
      <c r="AA40" s="159"/>
      <c r="AB40" s="159"/>
      <c r="AC40" s="144"/>
      <c r="AD40" s="144"/>
      <c r="AE40" s="144"/>
      <c r="AF40" s="144"/>
      <c r="AG40" s="144"/>
      <c r="AH40" s="144"/>
      <c r="AI40" s="144"/>
      <c r="AJ40" s="144"/>
      <c r="AK40" s="144"/>
      <c r="AL40" s="144"/>
      <c r="GW40" s="25"/>
      <c r="HD40" s="26"/>
      <c r="HE40" s="25"/>
      <c r="HF40" s="25"/>
      <c r="HG40" s="25"/>
      <c r="HH40" s="25"/>
      <c r="HI40" s="25"/>
      <c r="HJ40" s="25"/>
      <c r="HK40" s="25"/>
      <c r="HL40" s="25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32"/>
      <c r="IN40" s="32"/>
    </row>
    <row r="41" spans="2:248" s="24" customFormat="1" ht="54.6" customHeight="1" x14ac:dyDescent="0.25">
      <c r="B41" s="144"/>
      <c r="C41" s="144"/>
      <c r="D41" s="144"/>
      <c r="E41" s="144"/>
      <c r="F41" s="144"/>
      <c r="G41" s="144"/>
      <c r="H41" s="154"/>
      <c r="I41" s="144"/>
      <c r="J41" s="144"/>
      <c r="K41" s="144"/>
      <c r="L41" s="154"/>
      <c r="M41" s="144"/>
      <c r="N41" s="144"/>
      <c r="O41" s="155">
        <f>Table3[[#This Row],[UNIT PRICE]]*Table3[[#This Row],[QTY]]</f>
        <v>0</v>
      </c>
      <c r="P41" s="144"/>
      <c r="Q41" s="144"/>
      <c r="R41" s="156"/>
      <c r="S41" s="144"/>
      <c r="T41" s="157"/>
      <c r="U41" s="158"/>
      <c r="V41" s="144"/>
      <c r="W41" s="144"/>
      <c r="X41" s="144"/>
      <c r="Y41" s="144"/>
      <c r="Z41" s="159"/>
      <c r="AA41" s="159"/>
      <c r="AB41" s="159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GW41" s="25"/>
      <c r="HD41" s="26"/>
      <c r="HE41" s="25"/>
      <c r="HF41" s="25"/>
      <c r="HG41" s="25"/>
      <c r="HH41" s="25"/>
      <c r="HI41" s="25"/>
      <c r="HJ41" s="25"/>
      <c r="HK41" s="25"/>
      <c r="HL41" s="25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32"/>
      <c r="IN41" s="32"/>
    </row>
    <row r="42" spans="2:248" s="24" customFormat="1" ht="54.6" customHeight="1" x14ac:dyDescent="0.25">
      <c r="B42" s="144"/>
      <c r="C42" s="144"/>
      <c r="D42" s="144"/>
      <c r="E42" s="144"/>
      <c r="F42" s="144"/>
      <c r="G42" s="144"/>
      <c r="H42" s="154"/>
      <c r="I42" s="144"/>
      <c r="J42" s="144"/>
      <c r="K42" s="144"/>
      <c r="L42" s="154"/>
      <c r="M42" s="144"/>
      <c r="N42" s="144"/>
      <c r="O42" s="155">
        <f>Table3[[#This Row],[UNIT PRICE]]*Table3[[#This Row],[QTY]]</f>
        <v>0</v>
      </c>
      <c r="P42" s="144"/>
      <c r="Q42" s="144"/>
      <c r="R42" s="156"/>
      <c r="S42" s="144"/>
      <c r="T42" s="157"/>
      <c r="U42" s="158"/>
      <c r="V42" s="144"/>
      <c r="W42" s="144"/>
      <c r="X42" s="144"/>
      <c r="Y42" s="144"/>
      <c r="Z42" s="159"/>
      <c r="AA42" s="159"/>
      <c r="AB42" s="159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GW42" s="25"/>
      <c r="HD42" s="26"/>
      <c r="HE42" s="25"/>
      <c r="HF42" s="25"/>
      <c r="HG42" s="25"/>
      <c r="HH42" s="25"/>
      <c r="HI42" s="25"/>
      <c r="HJ42" s="25"/>
      <c r="HK42" s="25"/>
      <c r="HL42" s="25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32"/>
      <c r="IN42" s="32"/>
    </row>
    <row r="43" spans="2:248" s="24" customFormat="1" ht="54.6" customHeight="1" x14ac:dyDescent="0.25">
      <c r="B43" s="144"/>
      <c r="C43" s="144"/>
      <c r="D43" s="144"/>
      <c r="E43" s="144"/>
      <c r="F43" s="144"/>
      <c r="G43" s="144"/>
      <c r="H43" s="154"/>
      <c r="I43" s="144"/>
      <c r="J43" s="144"/>
      <c r="K43" s="144"/>
      <c r="L43" s="154"/>
      <c r="M43" s="144"/>
      <c r="N43" s="144"/>
      <c r="O43" s="155">
        <f>Table3[[#This Row],[UNIT PRICE]]*Table3[[#This Row],[QTY]]</f>
        <v>0</v>
      </c>
      <c r="P43" s="144"/>
      <c r="Q43" s="144"/>
      <c r="R43" s="156"/>
      <c r="S43" s="144"/>
      <c r="T43" s="157"/>
      <c r="U43" s="158"/>
      <c r="V43" s="144"/>
      <c r="W43" s="144"/>
      <c r="X43" s="144"/>
      <c r="Y43" s="144"/>
      <c r="Z43" s="159"/>
      <c r="AA43" s="159"/>
      <c r="AB43" s="159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GW43" s="25"/>
      <c r="HD43" s="26"/>
      <c r="HE43" s="25"/>
      <c r="HF43" s="25"/>
      <c r="HG43" s="25"/>
      <c r="HH43" s="25"/>
      <c r="HI43" s="25"/>
      <c r="HJ43" s="25"/>
      <c r="HK43" s="25"/>
      <c r="HL43" s="25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32"/>
      <c r="IN43" s="32"/>
    </row>
    <row r="44" spans="2:248" s="24" customFormat="1" ht="54.6" customHeight="1" x14ac:dyDescent="0.25">
      <c r="B44" s="144"/>
      <c r="C44" s="144"/>
      <c r="D44" s="144"/>
      <c r="E44" s="144"/>
      <c r="F44" s="144"/>
      <c r="G44" s="144"/>
      <c r="H44" s="154"/>
      <c r="I44" s="144"/>
      <c r="J44" s="144"/>
      <c r="K44" s="144"/>
      <c r="L44" s="154"/>
      <c r="M44" s="144"/>
      <c r="N44" s="144"/>
      <c r="O44" s="155">
        <f>Table3[[#This Row],[UNIT PRICE]]*Table3[[#This Row],[QTY]]</f>
        <v>0</v>
      </c>
      <c r="P44" s="144"/>
      <c r="Q44" s="144"/>
      <c r="R44" s="156"/>
      <c r="S44" s="144"/>
      <c r="T44" s="157"/>
      <c r="U44" s="158"/>
      <c r="V44" s="144"/>
      <c r="W44" s="144"/>
      <c r="X44" s="144"/>
      <c r="Y44" s="144"/>
      <c r="Z44" s="159"/>
      <c r="AA44" s="159"/>
      <c r="AB44" s="159"/>
      <c r="AC44" s="144"/>
      <c r="AD44" s="144"/>
      <c r="AE44" s="144"/>
      <c r="AF44" s="144"/>
      <c r="AG44" s="144"/>
      <c r="AH44" s="144"/>
      <c r="AI44" s="144"/>
      <c r="AJ44" s="144"/>
      <c r="AK44" s="144"/>
      <c r="AL44" s="144"/>
      <c r="GW44" s="25"/>
      <c r="HD44" s="26"/>
      <c r="HE44" s="25"/>
      <c r="HF44" s="25"/>
      <c r="HG44" s="25"/>
      <c r="HH44" s="25"/>
      <c r="HI44" s="25"/>
      <c r="HJ44" s="25"/>
      <c r="HK44" s="25"/>
      <c r="HL44" s="25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32"/>
      <c r="IN44" s="32"/>
    </row>
    <row r="45" spans="2:248" s="24" customFormat="1" ht="54.6" customHeight="1" x14ac:dyDescent="0.25">
      <c r="B45" s="144"/>
      <c r="C45" s="144"/>
      <c r="D45" s="144"/>
      <c r="E45" s="144"/>
      <c r="F45" s="144"/>
      <c r="G45" s="144"/>
      <c r="H45" s="154"/>
      <c r="I45" s="144"/>
      <c r="J45" s="144"/>
      <c r="K45" s="144"/>
      <c r="L45" s="154"/>
      <c r="M45" s="144"/>
      <c r="N45" s="144"/>
      <c r="O45" s="155">
        <f>Table3[[#This Row],[UNIT PRICE]]*Table3[[#This Row],[QTY]]</f>
        <v>0</v>
      </c>
      <c r="P45" s="144"/>
      <c r="Q45" s="144"/>
      <c r="R45" s="156"/>
      <c r="S45" s="144"/>
      <c r="T45" s="157"/>
      <c r="U45" s="158"/>
      <c r="V45" s="144"/>
      <c r="W45" s="144"/>
      <c r="X45" s="144"/>
      <c r="Y45" s="144"/>
      <c r="Z45" s="159"/>
      <c r="AA45" s="159"/>
      <c r="AB45" s="159"/>
      <c r="AC45" s="144"/>
      <c r="AD45" s="144"/>
      <c r="AE45" s="144"/>
      <c r="AF45" s="144"/>
      <c r="AG45" s="144"/>
      <c r="AH45" s="144"/>
      <c r="AI45" s="144"/>
      <c r="AJ45" s="144"/>
      <c r="AK45" s="144"/>
      <c r="AL45" s="144"/>
      <c r="GW45" s="25"/>
      <c r="HD45" s="26"/>
      <c r="HE45" s="25"/>
      <c r="HF45" s="25"/>
      <c r="HG45" s="25"/>
      <c r="HH45" s="25"/>
      <c r="HI45" s="25"/>
      <c r="HJ45" s="25"/>
      <c r="HK45" s="25"/>
      <c r="HL45" s="25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32"/>
      <c r="IN45" s="32"/>
    </row>
    <row r="46" spans="2:248" s="24" customFormat="1" ht="54.6" customHeight="1" x14ac:dyDescent="0.25">
      <c r="B46" s="144"/>
      <c r="C46" s="144"/>
      <c r="D46" s="144"/>
      <c r="E46" s="144"/>
      <c r="F46" s="144"/>
      <c r="G46" s="144"/>
      <c r="H46" s="154"/>
      <c r="I46" s="144"/>
      <c r="J46" s="144"/>
      <c r="K46" s="144"/>
      <c r="L46" s="154"/>
      <c r="M46" s="144"/>
      <c r="N46" s="144"/>
      <c r="O46" s="155">
        <f>Table3[[#This Row],[UNIT PRICE]]*Table3[[#This Row],[QTY]]</f>
        <v>0</v>
      </c>
      <c r="P46" s="144"/>
      <c r="Q46" s="144"/>
      <c r="R46" s="156"/>
      <c r="S46" s="144"/>
      <c r="T46" s="157"/>
      <c r="U46" s="158"/>
      <c r="V46" s="144"/>
      <c r="W46" s="144"/>
      <c r="X46" s="144"/>
      <c r="Y46" s="144"/>
      <c r="Z46" s="159"/>
      <c r="AA46" s="159"/>
      <c r="AB46" s="159"/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GW46" s="25"/>
      <c r="HD46" s="26"/>
      <c r="HE46" s="25"/>
      <c r="HF46" s="25"/>
      <c r="HG46" s="25"/>
      <c r="HH46" s="25"/>
      <c r="HI46" s="25"/>
      <c r="HJ46" s="25"/>
      <c r="HK46" s="25"/>
      <c r="HL46" s="25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32"/>
      <c r="IN46" s="32"/>
    </row>
    <row r="47" spans="2:248" s="24" customFormat="1" ht="54.6" customHeight="1" x14ac:dyDescent="0.25">
      <c r="B47" s="144"/>
      <c r="C47" s="144"/>
      <c r="D47" s="144"/>
      <c r="E47" s="144"/>
      <c r="F47" s="144"/>
      <c r="G47" s="144"/>
      <c r="H47" s="154"/>
      <c r="I47" s="144"/>
      <c r="J47" s="144"/>
      <c r="K47" s="144"/>
      <c r="L47" s="154"/>
      <c r="M47" s="144"/>
      <c r="N47" s="144"/>
      <c r="O47" s="155">
        <f>Table3[[#This Row],[UNIT PRICE]]*Table3[[#This Row],[QTY]]</f>
        <v>0</v>
      </c>
      <c r="P47" s="144"/>
      <c r="Q47" s="144"/>
      <c r="R47" s="156"/>
      <c r="S47" s="144"/>
      <c r="T47" s="157"/>
      <c r="U47" s="158"/>
      <c r="V47" s="144"/>
      <c r="W47" s="144"/>
      <c r="X47" s="144"/>
      <c r="Y47" s="144"/>
      <c r="Z47" s="159"/>
      <c r="AA47" s="159"/>
      <c r="AB47" s="159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GW47" s="25"/>
      <c r="HD47" s="26"/>
      <c r="HE47" s="25"/>
      <c r="HF47" s="25"/>
      <c r="HG47" s="25"/>
      <c r="HH47" s="25"/>
      <c r="HI47" s="25"/>
      <c r="HJ47" s="25"/>
      <c r="HK47" s="25"/>
      <c r="HL47" s="25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32"/>
      <c r="IN47" s="32"/>
    </row>
    <row r="48" spans="2:248" s="24" customFormat="1" ht="54.6" customHeight="1" x14ac:dyDescent="0.25">
      <c r="B48" s="144"/>
      <c r="C48" s="144"/>
      <c r="D48" s="144"/>
      <c r="E48" s="144"/>
      <c r="F48" s="144"/>
      <c r="G48" s="144"/>
      <c r="H48" s="154"/>
      <c r="I48" s="144"/>
      <c r="J48" s="144"/>
      <c r="K48" s="144"/>
      <c r="L48" s="154"/>
      <c r="M48" s="144"/>
      <c r="N48" s="144"/>
      <c r="O48" s="155">
        <f>Table3[[#This Row],[UNIT PRICE]]*Table3[[#This Row],[QTY]]</f>
        <v>0</v>
      </c>
      <c r="P48" s="144"/>
      <c r="Q48" s="144"/>
      <c r="R48" s="156"/>
      <c r="S48" s="144"/>
      <c r="T48" s="157"/>
      <c r="U48" s="158"/>
      <c r="V48" s="144"/>
      <c r="W48" s="144"/>
      <c r="X48" s="144"/>
      <c r="Y48" s="144"/>
      <c r="Z48" s="159"/>
      <c r="AA48" s="159"/>
      <c r="AB48" s="159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GW48" s="25"/>
      <c r="HD48" s="26"/>
      <c r="HE48" s="25"/>
      <c r="HF48" s="25"/>
      <c r="HG48" s="25"/>
      <c r="HH48" s="25"/>
      <c r="HI48" s="25"/>
      <c r="HJ48" s="25"/>
      <c r="HK48" s="25"/>
      <c r="HL48" s="25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32"/>
      <c r="IN48" s="32"/>
    </row>
    <row r="49" spans="2:248" s="24" customFormat="1" ht="54.6" customHeight="1" x14ac:dyDescent="0.25">
      <c r="B49" s="144"/>
      <c r="C49" s="144"/>
      <c r="D49" s="144"/>
      <c r="E49" s="144"/>
      <c r="F49" s="144"/>
      <c r="G49" s="144"/>
      <c r="H49" s="154"/>
      <c r="I49" s="144"/>
      <c r="J49" s="144"/>
      <c r="K49" s="144"/>
      <c r="L49" s="154"/>
      <c r="M49" s="144"/>
      <c r="N49" s="144"/>
      <c r="O49" s="155">
        <f>Table3[[#This Row],[UNIT PRICE]]*Table3[[#This Row],[QTY]]</f>
        <v>0</v>
      </c>
      <c r="P49" s="144"/>
      <c r="Q49" s="144"/>
      <c r="R49" s="156"/>
      <c r="S49" s="144"/>
      <c r="T49" s="157"/>
      <c r="U49" s="158"/>
      <c r="V49" s="144"/>
      <c r="W49" s="144"/>
      <c r="X49" s="144"/>
      <c r="Y49" s="144"/>
      <c r="Z49" s="159"/>
      <c r="AA49" s="159"/>
      <c r="AB49" s="159"/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GW49" s="25"/>
      <c r="HD49" s="26"/>
      <c r="HE49" s="25"/>
      <c r="HF49" s="25"/>
      <c r="HG49" s="25"/>
      <c r="HH49" s="25"/>
      <c r="HI49" s="25"/>
      <c r="HJ49" s="25"/>
      <c r="HK49" s="25"/>
      <c r="HL49" s="25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32"/>
      <c r="IN49" s="32"/>
    </row>
    <row r="50" spans="2:248" s="24" customFormat="1" ht="54.6" customHeight="1" x14ac:dyDescent="0.25">
      <c r="B50" s="144"/>
      <c r="C50" s="144"/>
      <c r="D50" s="144"/>
      <c r="E50" s="144"/>
      <c r="F50" s="144"/>
      <c r="G50" s="144"/>
      <c r="H50" s="154"/>
      <c r="I50" s="144"/>
      <c r="J50" s="144"/>
      <c r="K50" s="144"/>
      <c r="L50" s="154"/>
      <c r="M50" s="144"/>
      <c r="N50" s="144"/>
      <c r="O50" s="155">
        <f>Table3[[#This Row],[UNIT PRICE]]*Table3[[#This Row],[QTY]]</f>
        <v>0</v>
      </c>
      <c r="P50" s="144"/>
      <c r="Q50" s="144"/>
      <c r="R50" s="156"/>
      <c r="S50" s="144"/>
      <c r="T50" s="157"/>
      <c r="U50" s="158"/>
      <c r="V50" s="144"/>
      <c r="W50" s="144"/>
      <c r="X50" s="144"/>
      <c r="Y50" s="144"/>
      <c r="Z50" s="159"/>
      <c r="AA50" s="159"/>
      <c r="AB50" s="159"/>
      <c r="AC50" s="144"/>
      <c r="AD50" s="144"/>
      <c r="AE50" s="144"/>
      <c r="AF50" s="144"/>
      <c r="AG50" s="144"/>
      <c r="AH50" s="144"/>
      <c r="AI50" s="144"/>
      <c r="AJ50" s="144"/>
      <c r="AK50" s="144"/>
      <c r="AL50" s="144"/>
      <c r="GW50" s="25"/>
      <c r="HD50" s="26"/>
      <c r="HE50" s="25"/>
      <c r="HF50" s="25"/>
      <c r="HG50" s="25"/>
      <c r="HH50" s="25"/>
      <c r="HI50" s="25"/>
      <c r="HJ50" s="25"/>
      <c r="HK50" s="25"/>
      <c r="HL50" s="25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32"/>
      <c r="IN50" s="32"/>
    </row>
    <row r="51" spans="2:248" s="24" customFormat="1" ht="54.6" customHeight="1" x14ac:dyDescent="0.25">
      <c r="B51" s="144"/>
      <c r="C51" s="144"/>
      <c r="D51" s="144"/>
      <c r="E51" s="144"/>
      <c r="F51" s="144"/>
      <c r="G51" s="144"/>
      <c r="H51" s="154"/>
      <c r="I51" s="144"/>
      <c r="J51" s="144"/>
      <c r="K51" s="144"/>
      <c r="L51" s="154"/>
      <c r="M51" s="144"/>
      <c r="N51" s="144"/>
      <c r="O51" s="155">
        <f>Table3[[#This Row],[UNIT PRICE]]*Table3[[#This Row],[QTY]]</f>
        <v>0</v>
      </c>
      <c r="P51" s="144"/>
      <c r="Q51" s="144"/>
      <c r="R51" s="156"/>
      <c r="S51" s="144"/>
      <c r="T51" s="157"/>
      <c r="U51" s="158"/>
      <c r="V51" s="144"/>
      <c r="W51" s="144"/>
      <c r="X51" s="144"/>
      <c r="Y51" s="144"/>
      <c r="Z51" s="159"/>
      <c r="AA51" s="159"/>
      <c r="AB51" s="159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GW51" s="25"/>
      <c r="HD51" s="26"/>
      <c r="HE51" s="25"/>
      <c r="HF51" s="25"/>
      <c r="HG51" s="25"/>
      <c r="HH51" s="25"/>
      <c r="HI51" s="25"/>
      <c r="HJ51" s="25"/>
      <c r="HK51" s="25"/>
      <c r="HL51" s="25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32"/>
      <c r="IN51" s="32"/>
    </row>
    <row r="52" spans="2:248" s="24" customFormat="1" ht="54.6" customHeight="1" x14ac:dyDescent="0.25">
      <c r="B52" s="144"/>
      <c r="C52" s="144"/>
      <c r="D52" s="144"/>
      <c r="E52" s="144"/>
      <c r="F52" s="144"/>
      <c r="G52" s="144"/>
      <c r="H52" s="154"/>
      <c r="I52" s="144"/>
      <c r="J52" s="144"/>
      <c r="K52" s="144"/>
      <c r="L52" s="154"/>
      <c r="M52" s="144"/>
      <c r="N52" s="144"/>
      <c r="O52" s="155">
        <f>Table3[[#This Row],[UNIT PRICE]]*Table3[[#This Row],[QTY]]</f>
        <v>0</v>
      </c>
      <c r="P52" s="144"/>
      <c r="Q52" s="144"/>
      <c r="R52" s="156"/>
      <c r="S52" s="144"/>
      <c r="T52" s="157"/>
      <c r="U52" s="158"/>
      <c r="V52" s="144"/>
      <c r="W52" s="144"/>
      <c r="X52" s="144"/>
      <c r="Y52" s="144"/>
      <c r="Z52" s="159"/>
      <c r="AA52" s="159"/>
      <c r="AB52" s="159"/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GW52" s="25"/>
      <c r="HD52" s="26"/>
      <c r="HE52" s="25"/>
      <c r="HF52" s="25"/>
      <c r="HG52" s="25"/>
      <c r="HH52" s="25"/>
      <c r="HI52" s="25"/>
      <c r="HJ52" s="25"/>
      <c r="HK52" s="25"/>
      <c r="HL52" s="25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32"/>
      <c r="IN52" s="32"/>
    </row>
    <row r="53" spans="2:248" s="24" customFormat="1" ht="54.6" customHeight="1" x14ac:dyDescent="0.25">
      <c r="B53" s="144"/>
      <c r="C53" s="144"/>
      <c r="D53" s="144"/>
      <c r="E53" s="144"/>
      <c r="F53" s="144"/>
      <c r="G53" s="144"/>
      <c r="H53" s="154"/>
      <c r="I53" s="144"/>
      <c r="J53" s="144"/>
      <c r="K53" s="144"/>
      <c r="L53" s="154"/>
      <c r="M53" s="144"/>
      <c r="N53" s="144"/>
      <c r="O53" s="155">
        <f>Table3[[#This Row],[UNIT PRICE]]*Table3[[#This Row],[QTY]]</f>
        <v>0</v>
      </c>
      <c r="P53" s="144"/>
      <c r="Q53" s="144"/>
      <c r="R53" s="156"/>
      <c r="S53" s="144"/>
      <c r="T53" s="157"/>
      <c r="U53" s="158"/>
      <c r="V53" s="144"/>
      <c r="W53" s="144"/>
      <c r="X53" s="144"/>
      <c r="Y53" s="144"/>
      <c r="Z53" s="159"/>
      <c r="AA53" s="159"/>
      <c r="AB53" s="159"/>
      <c r="AC53" s="144"/>
      <c r="AD53" s="144"/>
      <c r="AE53" s="144"/>
      <c r="AF53" s="144"/>
      <c r="AG53" s="144"/>
      <c r="AH53" s="144"/>
      <c r="AI53" s="144"/>
      <c r="AJ53" s="144"/>
      <c r="AK53" s="144"/>
      <c r="AL53" s="144"/>
      <c r="GW53" s="25"/>
      <c r="HD53" s="26"/>
      <c r="HE53" s="25"/>
      <c r="HF53" s="25"/>
      <c r="HG53" s="25"/>
      <c r="HH53" s="25"/>
      <c r="HI53" s="25"/>
      <c r="HJ53" s="25"/>
      <c r="HK53" s="25"/>
      <c r="HL53" s="25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32"/>
      <c r="IN53" s="32"/>
    </row>
    <row r="54" spans="2:248" s="24" customFormat="1" ht="54.6" customHeight="1" x14ac:dyDescent="0.25">
      <c r="B54" s="144"/>
      <c r="C54" s="144"/>
      <c r="D54" s="144"/>
      <c r="E54" s="144"/>
      <c r="F54" s="144"/>
      <c r="G54" s="144"/>
      <c r="H54" s="154"/>
      <c r="I54" s="144"/>
      <c r="J54" s="144"/>
      <c r="K54" s="144"/>
      <c r="L54" s="154"/>
      <c r="M54" s="144"/>
      <c r="N54" s="144"/>
      <c r="O54" s="155">
        <f>Table3[[#This Row],[UNIT PRICE]]*Table3[[#This Row],[QTY]]</f>
        <v>0</v>
      </c>
      <c r="P54" s="144"/>
      <c r="Q54" s="144"/>
      <c r="R54" s="156"/>
      <c r="S54" s="144"/>
      <c r="T54" s="157"/>
      <c r="U54" s="158"/>
      <c r="V54" s="144"/>
      <c r="W54" s="144"/>
      <c r="X54" s="144"/>
      <c r="Y54" s="144"/>
      <c r="Z54" s="159"/>
      <c r="AA54" s="159"/>
      <c r="AB54" s="159"/>
      <c r="AC54" s="144"/>
      <c r="AD54" s="144"/>
      <c r="AE54" s="144"/>
      <c r="AF54" s="144"/>
      <c r="AG54" s="144"/>
      <c r="AH54" s="144"/>
      <c r="AI54" s="144"/>
      <c r="AJ54" s="144"/>
      <c r="AK54" s="144"/>
      <c r="AL54" s="144"/>
      <c r="GW54" s="25"/>
      <c r="HD54" s="26"/>
      <c r="HE54" s="25"/>
      <c r="HF54" s="25"/>
      <c r="HG54" s="25"/>
      <c r="HH54" s="25"/>
      <c r="HI54" s="25"/>
      <c r="HJ54" s="25"/>
      <c r="HK54" s="25"/>
      <c r="HL54" s="25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32"/>
      <c r="IN54" s="32"/>
    </row>
    <row r="55" spans="2:248" s="24" customFormat="1" ht="54.6" customHeight="1" x14ac:dyDescent="0.25">
      <c r="B55" s="144"/>
      <c r="C55" s="144"/>
      <c r="D55" s="144"/>
      <c r="E55" s="144"/>
      <c r="F55" s="144"/>
      <c r="G55" s="144"/>
      <c r="H55" s="154"/>
      <c r="I55" s="144"/>
      <c r="J55" s="144"/>
      <c r="K55" s="144"/>
      <c r="L55" s="154"/>
      <c r="M55" s="144"/>
      <c r="N55" s="144"/>
      <c r="O55" s="155">
        <f>Table3[[#This Row],[UNIT PRICE]]*Table3[[#This Row],[QTY]]</f>
        <v>0</v>
      </c>
      <c r="P55" s="144"/>
      <c r="Q55" s="144"/>
      <c r="R55" s="156"/>
      <c r="S55" s="144"/>
      <c r="T55" s="157"/>
      <c r="U55" s="158"/>
      <c r="V55" s="144"/>
      <c r="W55" s="144"/>
      <c r="X55" s="144"/>
      <c r="Y55" s="144"/>
      <c r="Z55" s="159"/>
      <c r="AA55" s="159"/>
      <c r="AB55" s="159"/>
      <c r="AC55" s="144"/>
      <c r="AD55" s="144"/>
      <c r="AE55" s="144"/>
      <c r="AF55" s="144"/>
      <c r="AG55" s="144"/>
      <c r="AH55" s="144"/>
      <c r="AI55" s="144"/>
      <c r="AJ55" s="144"/>
      <c r="AK55" s="144"/>
      <c r="AL55" s="144"/>
      <c r="GW55" s="25"/>
      <c r="HD55" s="26"/>
      <c r="HE55" s="25"/>
      <c r="HF55" s="25"/>
      <c r="HG55" s="25"/>
      <c r="HH55" s="25"/>
      <c r="HI55" s="25"/>
      <c r="HJ55" s="25"/>
      <c r="HK55" s="25"/>
      <c r="HL55" s="25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32"/>
      <c r="IN55" s="32"/>
    </row>
    <row r="56" spans="2:248" s="24" customFormat="1" ht="54.6" customHeight="1" x14ac:dyDescent="0.25">
      <c r="B56" s="144"/>
      <c r="C56" s="144"/>
      <c r="D56" s="144"/>
      <c r="E56" s="144"/>
      <c r="F56" s="144"/>
      <c r="G56" s="144"/>
      <c r="H56" s="154"/>
      <c r="I56" s="144"/>
      <c r="J56" s="144"/>
      <c r="K56" s="144"/>
      <c r="L56" s="154"/>
      <c r="M56" s="144"/>
      <c r="N56" s="144"/>
      <c r="O56" s="155">
        <f>Table3[[#This Row],[UNIT PRICE]]*Table3[[#This Row],[QTY]]</f>
        <v>0</v>
      </c>
      <c r="P56" s="144"/>
      <c r="Q56" s="144"/>
      <c r="R56" s="156"/>
      <c r="S56" s="144"/>
      <c r="T56" s="157"/>
      <c r="U56" s="158"/>
      <c r="V56" s="144"/>
      <c r="W56" s="144"/>
      <c r="X56" s="144"/>
      <c r="Y56" s="144"/>
      <c r="Z56" s="159"/>
      <c r="AA56" s="159"/>
      <c r="AB56" s="159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GW56" s="25"/>
      <c r="HD56" s="26"/>
      <c r="HE56" s="25"/>
      <c r="HF56" s="25"/>
      <c r="HG56" s="25"/>
      <c r="HH56" s="25"/>
      <c r="HI56" s="25"/>
      <c r="HJ56" s="25"/>
      <c r="HK56" s="25"/>
      <c r="HL56" s="25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32"/>
      <c r="IN56" s="32"/>
    </row>
    <row r="57" spans="2:248" s="24" customFormat="1" ht="54.6" customHeight="1" x14ac:dyDescent="0.25">
      <c r="B57" s="144"/>
      <c r="C57" s="144"/>
      <c r="D57" s="144"/>
      <c r="E57" s="144"/>
      <c r="F57" s="144"/>
      <c r="G57" s="144"/>
      <c r="H57" s="154"/>
      <c r="I57" s="144"/>
      <c r="J57" s="144"/>
      <c r="K57" s="144"/>
      <c r="L57" s="154"/>
      <c r="M57" s="144"/>
      <c r="N57" s="144"/>
      <c r="O57" s="155">
        <f>Table3[[#This Row],[UNIT PRICE]]*Table3[[#This Row],[QTY]]</f>
        <v>0</v>
      </c>
      <c r="P57" s="144"/>
      <c r="Q57" s="144"/>
      <c r="R57" s="156"/>
      <c r="S57" s="144"/>
      <c r="T57" s="157"/>
      <c r="U57" s="158"/>
      <c r="V57" s="144"/>
      <c r="W57" s="144"/>
      <c r="X57" s="144"/>
      <c r="Y57" s="144"/>
      <c r="Z57" s="159"/>
      <c r="AA57" s="159"/>
      <c r="AB57" s="159"/>
      <c r="AC57" s="144"/>
      <c r="AD57" s="144"/>
      <c r="AE57" s="144"/>
      <c r="AF57" s="144"/>
      <c r="AG57" s="144"/>
      <c r="AH57" s="144"/>
      <c r="AI57" s="144"/>
      <c r="AJ57" s="144"/>
      <c r="AK57" s="144"/>
      <c r="AL57" s="144"/>
      <c r="GW57" s="25"/>
      <c r="HD57" s="26"/>
      <c r="HE57" s="25"/>
      <c r="HF57" s="25"/>
      <c r="HG57" s="25"/>
      <c r="HH57" s="25"/>
      <c r="HI57" s="25"/>
      <c r="HJ57" s="25"/>
      <c r="HK57" s="25"/>
      <c r="HL57" s="25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32"/>
      <c r="IN57" s="32"/>
    </row>
    <row r="58" spans="2:248" s="24" customFormat="1" ht="54.6" customHeight="1" x14ac:dyDescent="0.25">
      <c r="B58" s="144"/>
      <c r="C58" s="144"/>
      <c r="D58" s="144"/>
      <c r="E58" s="144"/>
      <c r="F58" s="144"/>
      <c r="G58" s="144"/>
      <c r="H58" s="154"/>
      <c r="I58" s="144"/>
      <c r="J58" s="144"/>
      <c r="K58" s="144"/>
      <c r="L58" s="154"/>
      <c r="M58" s="144"/>
      <c r="N58" s="144"/>
      <c r="O58" s="155">
        <f>Table3[[#This Row],[UNIT PRICE]]*Table3[[#This Row],[QTY]]</f>
        <v>0</v>
      </c>
      <c r="P58" s="144"/>
      <c r="Q58" s="144"/>
      <c r="R58" s="156"/>
      <c r="S58" s="144"/>
      <c r="T58" s="157"/>
      <c r="U58" s="158"/>
      <c r="V58" s="144"/>
      <c r="W58" s="144"/>
      <c r="X58" s="144"/>
      <c r="Y58" s="144"/>
      <c r="Z58" s="159"/>
      <c r="AA58" s="159"/>
      <c r="AB58" s="159"/>
      <c r="AC58" s="144"/>
      <c r="AD58" s="144"/>
      <c r="AE58" s="144"/>
      <c r="AF58" s="144"/>
      <c r="AG58" s="144"/>
      <c r="AH58" s="144"/>
      <c r="AI58" s="144"/>
      <c r="AJ58" s="144"/>
      <c r="AK58" s="144"/>
      <c r="AL58" s="144"/>
      <c r="GW58" s="25"/>
      <c r="HD58" s="26"/>
      <c r="HE58" s="25"/>
      <c r="HF58" s="25"/>
      <c r="HG58" s="25"/>
      <c r="HH58" s="25"/>
      <c r="HI58" s="25"/>
      <c r="HJ58" s="25"/>
      <c r="HK58" s="25"/>
      <c r="HL58" s="25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32"/>
      <c r="IN58" s="32"/>
    </row>
    <row r="59" spans="2:248" s="24" customFormat="1" ht="54.6" customHeight="1" x14ac:dyDescent="0.25">
      <c r="B59" s="144"/>
      <c r="C59" s="144"/>
      <c r="D59" s="144"/>
      <c r="E59" s="144"/>
      <c r="F59" s="144"/>
      <c r="G59" s="144"/>
      <c r="H59" s="154"/>
      <c r="I59" s="144"/>
      <c r="J59" s="144"/>
      <c r="K59" s="144"/>
      <c r="L59" s="154"/>
      <c r="M59" s="144"/>
      <c r="N59" s="144"/>
      <c r="O59" s="155">
        <f>Table3[[#This Row],[UNIT PRICE]]*Table3[[#This Row],[QTY]]</f>
        <v>0</v>
      </c>
      <c r="P59" s="144"/>
      <c r="Q59" s="144"/>
      <c r="R59" s="156"/>
      <c r="S59" s="144"/>
      <c r="T59" s="157"/>
      <c r="U59" s="158"/>
      <c r="V59" s="144"/>
      <c r="W59" s="144"/>
      <c r="X59" s="144"/>
      <c r="Y59" s="144"/>
      <c r="Z59" s="159"/>
      <c r="AA59" s="159"/>
      <c r="AB59" s="159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GW59" s="25"/>
      <c r="HD59" s="26"/>
      <c r="HE59" s="25"/>
      <c r="HF59" s="25"/>
      <c r="HG59" s="25"/>
      <c r="HH59" s="25"/>
      <c r="HI59" s="25"/>
      <c r="HJ59" s="25"/>
      <c r="HK59" s="25"/>
      <c r="HL59" s="25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32"/>
      <c r="IN59" s="32"/>
    </row>
    <row r="60" spans="2:248" s="24" customFormat="1" ht="54.6" customHeight="1" x14ac:dyDescent="0.25">
      <c r="B60" s="144"/>
      <c r="C60" s="144"/>
      <c r="D60" s="144"/>
      <c r="E60" s="144"/>
      <c r="F60" s="144"/>
      <c r="G60" s="144"/>
      <c r="H60" s="154"/>
      <c r="I60" s="144"/>
      <c r="J60" s="144"/>
      <c r="K60" s="144"/>
      <c r="L60" s="154"/>
      <c r="M60" s="144"/>
      <c r="N60" s="144"/>
      <c r="O60" s="155">
        <f>Table3[[#This Row],[UNIT PRICE]]*Table3[[#This Row],[QTY]]</f>
        <v>0</v>
      </c>
      <c r="P60" s="144"/>
      <c r="Q60" s="144"/>
      <c r="R60" s="156"/>
      <c r="S60" s="144"/>
      <c r="T60" s="157"/>
      <c r="U60" s="158"/>
      <c r="V60" s="144"/>
      <c r="W60" s="144"/>
      <c r="X60" s="144"/>
      <c r="Y60" s="144"/>
      <c r="Z60" s="159"/>
      <c r="AA60" s="159"/>
      <c r="AB60" s="159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GW60" s="25"/>
      <c r="HD60" s="26"/>
      <c r="HE60" s="25"/>
      <c r="HF60" s="25"/>
      <c r="HG60" s="25"/>
      <c r="HH60" s="25"/>
      <c r="HI60" s="25"/>
      <c r="HJ60" s="25"/>
      <c r="HK60" s="25"/>
      <c r="HL60" s="25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32"/>
      <c r="IN60" s="32"/>
    </row>
    <row r="61" spans="2:248" s="24" customFormat="1" ht="54.6" customHeight="1" x14ac:dyDescent="0.25">
      <c r="B61" s="144"/>
      <c r="C61" s="144"/>
      <c r="D61" s="144"/>
      <c r="E61" s="144"/>
      <c r="F61" s="144"/>
      <c r="G61" s="144"/>
      <c r="H61" s="154"/>
      <c r="I61" s="144"/>
      <c r="J61" s="144"/>
      <c r="K61" s="144"/>
      <c r="L61" s="154"/>
      <c r="M61" s="144"/>
      <c r="N61" s="144"/>
      <c r="O61" s="155">
        <f>Table3[[#This Row],[UNIT PRICE]]*Table3[[#This Row],[QTY]]</f>
        <v>0</v>
      </c>
      <c r="P61" s="144"/>
      <c r="Q61" s="144"/>
      <c r="R61" s="156"/>
      <c r="S61" s="144"/>
      <c r="T61" s="157"/>
      <c r="U61" s="158"/>
      <c r="V61" s="144"/>
      <c r="W61" s="144"/>
      <c r="X61" s="144"/>
      <c r="Y61" s="144"/>
      <c r="Z61" s="159"/>
      <c r="AA61" s="159"/>
      <c r="AB61" s="159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GW61" s="25"/>
      <c r="HD61" s="26"/>
      <c r="HE61" s="25"/>
      <c r="HF61" s="25"/>
      <c r="HG61" s="25"/>
      <c r="HH61" s="25"/>
      <c r="HI61" s="25"/>
      <c r="HJ61" s="25"/>
      <c r="HK61" s="25"/>
      <c r="HL61" s="25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32"/>
      <c r="IN61" s="32"/>
    </row>
    <row r="62" spans="2:248" s="24" customFormat="1" ht="54.6" customHeight="1" x14ac:dyDescent="0.25">
      <c r="B62" s="144"/>
      <c r="C62" s="144"/>
      <c r="D62" s="144"/>
      <c r="E62" s="144"/>
      <c r="F62" s="144"/>
      <c r="G62" s="144"/>
      <c r="H62" s="154"/>
      <c r="I62" s="144"/>
      <c r="J62" s="144"/>
      <c r="K62" s="144"/>
      <c r="L62" s="154"/>
      <c r="M62" s="144"/>
      <c r="N62" s="144"/>
      <c r="O62" s="155">
        <f>Table3[[#This Row],[UNIT PRICE]]*Table3[[#This Row],[QTY]]</f>
        <v>0</v>
      </c>
      <c r="P62" s="144"/>
      <c r="Q62" s="144"/>
      <c r="R62" s="156"/>
      <c r="S62" s="144"/>
      <c r="T62" s="157"/>
      <c r="U62" s="158"/>
      <c r="V62" s="144"/>
      <c r="W62" s="144"/>
      <c r="X62" s="144"/>
      <c r="Y62" s="144"/>
      <c r="Z62" s="159"/>
      <c r="AA62" s="159"/>
      <c r="AB62" s="159"/>
      <c r="AC62" s="144"/>
      <c r="AD62" s="144"/>
      <c r="AE62" s="144"/>
      <c r="AF62" s="144"/>
      <c r="AG62" s="144"/>
      <c r="AH62" s="144"/>
      <c r="AI62" s="144"/>
      <c r="AJ62" s="144"/>
      <c r="AK62" s="144"/>
      <c r="AL62" s="144"/>
      <c r="GW62" s="25"/>
      <c r="HD62" s="26"/>
      <c r="HE62" s="25"/>
      <c r="HF62" s="25"/>
      <c r="HG62" s="25"/>
      <c r="HH62" s="25"/>
      <c r="HI62" s="25"/>
      <c r="HJ62" s="25"/>
      <c r="HK62" s="25"/>
      <c r="HL62" s="25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32"/>
      <c r="IN62" s="32"/>
    </row>
    <row r="63" spans="2:248" s="24" customFormat="1" ht="54.6" customHeight="1" x14ac:dyDescent="0.25">
      <c r="B63" s="144"/>
      <c r="C63" s="144"/>
      <c r="D63" s="144"/>
      <c r="E63" s="144"/>
      <c r="F63" s="144"/>
      <c r="G63" s="144"/>
      <c r="H63" s="154"/>
      <c r="I63" s="144"/>
      <c r="J63" s="144"/>
      <c r="K63" s="144"/>
      <c r="L63" s="154"/>
      <c r="M63" s="144"/>
      <c r="N63" s="144"/>
      <c r="O63" s="155">
        <f>Table3[[#This Row],[UNIT PRICE]]*Table3[[#This Row],[QTY]]</f>
        <v>0</v>
      </c>
      <c r="P63" s="144"/>
      <c r="Q63" s="144"/>
      <c r="R63" s="156"/>
      <c r="S63" s="144"/>
      <c r="T63" s="157"/>
      <c r="U63" s="158"/>
      <c r="V63" s="144"/>
      <c r="W63" s="144"/>
      <c r="X63" s="144"/>
      <c r="Y63" s="144"/>
      <c r="Z63" s="159"/>
      <c r="AA63" s="159"/>
      <c r="AB63" s="159"/>
      <c r="AC63" s="144"/>
      <c r="AD63" s="144"/>
      <c r="AE63" s="144"/>
      <c r="AF63" s="144"/>
      <c r="AG63" s="144"/>
      <c r="AH63" s="144"/>
      <c r="AI63" s="144"/>
      <c r="AJ63" s="144"/>
      <c r="AK63" s="144"/>
      <c r="AL63" s="144"/>
      <c r="GW63" s="25"/>
      <c r="HD63" s="26"/>
      <c r="HE63" s="25"/>
      <c r="HF63" s="25"/>
      <c r="HG63" s="25"/>
      <c r="HH63" s="25"/>
      <c r="HI63" s="25"/>
      <c r="HJ63" s="25"/>
      <c r="HK63" s="25"/>
      <c r="HL63" s="25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32"/>
      <c r="IN63" s="32"/>
    </row>
    <row r="64" spans="2:248" s="24" customFormat="1" ht="54.6" customHeight="1" x14ac:dyDescent="0.25">
      <c r="B64" s="144"/>
      <c r="C64" s="144"/>
      <c r="D64" s="144"/>
      <c r="E64" s="144"/>
      <c r="F64" s="144"/>
      <c r="G64" s="144"/>
      <c r="H64" s="154"/>
      <c r="I64" s="144"/>
      <c r="J64" s="144"/>
      <c r="K64" s="144"/>
      <c r="L64" s="154"/>
      <c r="M64" s="144"/>
      <c r="N64" s="144"/>
      <c r="O64" s="155">
        <f>Table3[[#This Row],[UNIT PRICE]]*Table3[[#This Row],[QTY]]</f>
        <v>0</v>
      </c>
      <c r="P64" s="144"/>
      <c r="Q64" s="144"/>
      <c r="R64" s="156"/>
      <c r="S64" s="144"/>
      <c r="T64" s="157"/>
      <c r="U64" s="158"/>
      <c r="V64" s="144"/>
      <c r="W64" s="144"/>
      <c r="X64" s="144"/>
      <c r="Y64" s="144"/>
      <c r="Z64" s="159"/>
      <c r="AA64" s="159"/>
      <c r="AB64" s="159"/>
      <c r="AC64" s="144"/>
      <c r="AD64" s="144"/>
      <c r="AE64" s="144"/>
      <c r="AF64" s="144"/>
      <c r="AG64" s="144"/>
      <c r="AH64" s="144"/>
      <c r="AI64" s="144"/>
      <c r="AJ64" s="144"/>
      <c r="AK64" s="144"/>
      <c r="AL64" s="144"/>
      <c r="GW64" s="25"/>
      <c r="HD64" s="26"/>
      <c r="HE64" s="25"/>
      <c r="HF64" s="25"/>
      <c r="HG64" s="25"/>
      <c r="HH64" s="25"/>
      <c r="HI64" s="25"/>
      <c r="HJ64" s="25"/>
      <c r="HK64" s="25"/>
      <c r="HL64" s="25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32"/>
      <c r="IN64" s="32"/>
    </row>
    <row r="65" spans="2:248" s="24" customFormat="1" ht="54.6" customHeight="1" x14ac:dyDescent="0.25">
      <c r="B65" s="144"/>
      <c r="C65" s="144"/>
      <c r="D65" s="144"/>
      <c r="E65" s="144"/>
      <c r="F65" s="144"/>
      <c r="G65" s="144"/>
      <c r="H65" s="154"/>
      <c r="I65" s="144"/>
      <c r="J65" s="144"/>
      <c r="K65" s="144"/>
      <c r="L65" s="154"/>
      <c r="M65" s="144"/>
      <c r="N65" s="144"/>
      <c r="O65" s="155">
        <f>Table3[[#This Row],[UNIT PRICE]]*Table3[[#This Row],[QTY]]</f>
        <v>0</v>
      </c>
      <c r="P65" s="144"/>
      <c r="Q65" s="144"/>
      <c r="R65" s="156"/>
      <c r="S65" s="144"/>
      <c r="T65" s="157"/>
      <c r="U65" s="158"/>
      <c r="V65" s="144"/>
      <c r="W65" s="144"/>
      <c r="X65" s="144"/>
      <c r="Y65" s="144"/>
      <c r="Z65" s="159"/>
      <c r="AA65" s="159"/>
      <c r="AB65" s="159"/>
      <c r="AC65" s="144"/>
      <c r="AD65" s="144"/>
      <c r="AE65" s="144"/>
      <c r="AF65" s="144"/>
      <c r="AG65" s="144"/>
      <c r="AH65" s="144"/>
      <c r="AI65" s="144"/>
      <c r="AJ65" s="144"/>
      <c r="AK65" s="144"/>
      <c r="AL65" s="144"/>
      <c r="GW65" s="25"/>
      <c r="HD65" s="26"/>
      <c r="HE65" s="25"/>
      <c r="HF65" s="25"/>
      <c r="HG65" s="25"/>
      <c r="HH65" s="25"/>
      <c r="HI65" s="25"/>
      <c r="HJ65" s="25"/>
      <c r="HK65" s="25"/>
      <c r="HL65" s="25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32"/>
      <c r="IN65" s="32"/>
    </row>
    <row r="66" spans="2:248" s="24" customFormat="1" ht="54.6" customHeight="1" x14ac:dyDescent="0.25">
      <c r="B66" s="144"/>
      <c r="C66" s="144"/>
      <c r="D66" s="144"/>
      <c r="E66" s="144"/>
      <c r="F66" s="144"/>
      <c r="G66" s="144"/>
      <c r="H66" s="154"/>
      <c r="I66" s="144"/>
      <c r="J66" s="144"/>
      <c r="K66" s="144"/>
      <c r="L66" s="154"/>
      <c r="M66" s="144"/>
      <c r="N66" s="144"/>
      <c r="O66" s="155">
        <f>Table3[[#This Row],[UNIT PRICE]]*Table3[[#This Row],[QTY]]</f>
        <v>0</v>
      </c>
      <c r="P66" s="144"/>
      <c r="Q66" s="144"/>
      <c r="R66" s="156"/>
      <c r="S66" s="144"/>
      <c r="T66" s="157"/>
      <c r="U66" s="158"/>
      <c r="V66" s="144"/>
      <c r="W66" s="144"/>
      <c r="X66" s="144"/>
      <c r="Y66" s="144"/>
      <c r="Z66" s="159"/>
      <c r="AA66" s="159"/>
      <c r="AB66" s="159"/>
      <c r="AC66" s="144"/>
      <c r="AD66" s="144"/>
      <c r="AE66" s="144"/>
      <c r="AF66" s="144"/>
      <c r="AG66" s="144"/>
      <c r="AH66" s="144"/>
      <c r="AI66" s="144"/>
      <c r="AJ66" s="144"/>
      <c r="AK66" s="144"/>
      <c r="AL66" s="144"/>
      <c r="GW66" s="25"/>
      <c r="HD66" s="26"/>
      <c r="HE66" s="25"/>
      <c r="HF66" s="25"/>
      <c r="HG66" s="25"/>
      <c r="HH66" s="25"/>
      <c r="HI66" s="25"/>
      <c r="HJ66" s="25"/>
      <c r="HK66" s="25"/>
      <c r="HL66" s="25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32"/>
      <c r="IN66" s="32"/>
    </row>
    <row r="67" spans="2:248" s="24" customFormat="1" ht="54.6" customHeight="1" x14ac:dyDescent="0.25">
      <c r="B67" s="144"/>
      <c r="C67" s="144"/>
      <c r="D67" s="144"/>
      <c r="E67" s="144"/>
      <c r="F67" s="144"/>
      <c r="G67" s="144"/>
      <c r="H67" s="154"/>
      <c r="I67" s="144"/>
      <c r="J67" s="144"/>
      <c r="K67" s="144"/>
      <c r="L67" s="154"/>
      <c r="M67" s="144"/>
      <c r="N67" s="144"/>
      <c r="O67" s="155">
        <f>Table3[[#This Row],[UNIT PRICE]]*Table3[[#This Row],[QTY]]</f>
        <v>0</v>
      </c>
      <c r="P67" s="144"/>
      <c r="Q67" s="144"/>
      <c r="R67" s="156"/>
      <c r="S67" s="144"/>
      <c r="T67" s="157"/>
      <c r="U67" s="158"/>
      <c r="V67" s="144"/>
      <c r="W67" s="144"/>
      <c r="X67" s="144"/>
      <c r="Y67" s="144"/>
      <c r="Z67" s="159"/>
      <c r="AA67" s="159"/>
      <c r="AB67" s="159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GW67" s="25"/>
      <c r="HD67" s="26"/>
      <c r="HE67" s="25"/>
      <c r="HF67" s="25"/>
      <c r="HG67" s="25"/>
      <c r="HH67" s="25"/>
      <c r="HI67" s="25"/>
      <c r="HJ67" s="25"/>
      <c r="HK67" s="25"/>
      <c r="HL67" s="25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32"/>
      <c r="IN67" s="32"/>
    </row>
    <row r="68" spans="2:248" s="24" customFormat="1" ht="54.6" customHeight="1" x14ac:dyDescent="0.25">
      <c r="B68" s="144"/>
      <c r="C68" s="144"/>
      <c r="D68" s="144"/>
      <c r="E68" s="144"/>
      <c r="F68" s="144"/>
      <c r="G68" s="144"/>
      <c r="H68" s="154"/>
      <c r="I68" s="144"/>
      <c r="J68" s="144"/>
      <c r="K68" s="144"/>
      <c r="L68" s="154"/>
      <c r="M68" s="144"/>
      <c r="N68" s="144"/>
      <c r="O68" s="155">
        <f>Table3[[#This Row],[UNIT PRICE]]*Table3[[#This Row],[QTY]]</f>
        <v>0</v>
      </c>
      <c r="P68" s="144"/>
      <c r="Q68" s="144"/>
      <c r="R68" s="156"/>
      <c r="S68" s="144"/>
      <c r="T68" s="157"/>
      <c r="U68" s="158"/>
      <c r="V68" s="144"/>
      <c r="W68" s="144"/>
      <c r="X68" s="144"/>
      <c r="Y68" s="144"/>
      <c r="Z68" s="159"/>
      <c r="AA68" s="159"/>
      <c r="AB68" s="159"/>
      <c r="AC68" s="144"/>
      <c r="AD68" s="144"/>
      <c r="AE68" s="144"/>
      <c r="AF68" s="144"/>
      <c r="AG68" s="144"/>
      <c r="AH68" s="144"/>
      <c r="AI68" s="144"/>
      <c r="AJ68" s="144"/>
      <c r="AK68" s="144"/>
      <c r="AL68" s="144"/>
      <c r="GW68" s="25"/>
      <c r="HD68" s="26"/>
      <c r="HE68" s="25"/>
      <c r="HF68" s="25"/>
      <c r="HG68" s="25"/>
      <c r="HH68" s="25"/>
      <c r="HI68" s="25"/>
      <c r="HJ68" s="25"/>
      <c r="HK68" s="25"/>
      <c r="HL68" s="25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32"/>
      <c r="IN68" s="32"/>
    </row>
    <row r="69" spans="2:248" s="24" customFormat="1" ht="54.6" customHeight="1" x14ac:dyDescent="0.25">
      <c r="B69" s="144"/>
      <c r="C69" s="144"/>
      <c r="D69" s="144"/>
      <c r="E69" s="144"/>
      <c r="F69" s="144"/>
      <c r="G69" s="144"/>
      <c r="H69" s="154"/>
      <c r="I69" s="144"/>
      <c r="J69" s="144"/>
      <c r="K69" s="144"/>
      <c r="L69" s="154"/>
      <c r="M69" s="144"/>
      <c r="N69" s="144"/>
      <c r="O69" s="155">
        <f>Table3[[#This Row],[UNIT PRICE]]*Table3[[#This Row],[QTY]]</f>
        <v>0</v>
      </c>
      <c r="P69" s="144"/>
      <c r="Q69" s="144"/>
      <c r="R69" s="156"/>
      <c r="S69" s="144"/>
      <c r="T69" s="157"/>
      <c r="U69" s="158"/>
      <c r="V69" s="144"/>
      <c r="W69" s="144"/>
      <c r="X69" s="144"/>
      <c r="Y69" s="144"/>
      <c r="Z69" s="159"/>
      <c r="AA69" s="159"/>
      <c r="AB69" s="159"/>
      <c r="AC69" s="144"/>
      <c r="AD69" s="144"/>
      <c r="AE69" s="144"/>
      <c r="AF69" s="144"/>
      <c r="AG69" s="144"/>
      <c r="AH69" s="144"/>
      <c r="AI69" s="144"/>
      <c r="AJ69" s="144"/>
      <c r="AK69" s="144"/>
      <c r="AL69" s="144"/>
      <c r="GW69" s="25"/>
      <c r="HD69" s="26"/>
      <c r="HE69" s="25"/>
      <c r="HF69" s="25"/>
      <c r="HG69" s="25"/>
      <c r="HH69" s="25"/>
      <c r="HI69" s="25"/>
      <c r="HJ69" s="25"/>
      <c r="HK69" s="25"/>
      <c r="HL69" s="25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32"/>
      <c r="IN69" s="32"/>
    </row>
    <row r="70" spans="2:248" s="24" customFormat="1" ht="54.6" customHeight="1" x14ac:dyDescent="0.25">
      <c r="B70" s="144"/>
      <c r="C70" s="144"/>
      <c r="D70" s="144"/>
      <c r="E70" s="144"/>
      <c r="F70" s="144"/>
      <c r="G70" s="144"/>
      <c r="H70" s="154"/>
      <c r="I70" s="144"/>
      <c r="J70" s="144"/>
      <c r="K70" s="144"/>
      <c r="L70" s="154"/>
      <c r="M70" s="144"/>
      <c r="N70" s="144"/>
      <c r="O70" s="155">
        <f>Table3[[#This Row],[UNIT PRICE]]*Table3[[#This Row],[QTY]]</f>
        <v>0</v>
      </c>
      <c r="P70" s="144"/>
      <c r="Q70" s="144"/>
      <c r="R70" s="156"/>
      <c r="S70" s="144"/>
      <c r="T70" s="157"/>
      <c r="U70" s="158"/>
      <c r="V70" s="144"/>
      <c r="W70" s="144"/>
      <c r="X70" s="144"/>
      <c r="Y70" s="144"/>
      <c r="Z70" s="159"/>
      <c r="AA70" s="159"/>
      <c r="AB70" s="159"/>
      <c r="AC70" s="144"/>
      <c r="AD70" s="144"/>
      <c r="AE70" s="144"/>
      <c r="AF70" s="144"/>
      <c r="AG70" s="144"/>
      <c r="AH70" s="144"/>
      <c r="AI70" s="144"/>
      <c r="AJ70" s="144"/>
      <c r="AK70" s="144"/>
      <c r="AL70" s="144"/>
      <c r="GW70" s="25"/>
      <c r="HD70" s="26"/>
      <c r="HE70" s="25"/>
      <c r="HF70" s="25"/>
      <c r="HG70" s="25"/>
      <c r="HH70" s="25"/>
      <c r="HI70" s="25"/>
      <c r="HJ70" s="25"/>
      <c r="HK70" s="25"/>
      <c r="HL70" s="1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32"/>
      <c r="IN70" s="32"/>
    </row>
    <row r="71" spans="2:248" s="24" customFormat="1" ht="54.6" customHeight="1" x14ac:dyDescent="0.25">
      <c r="B71" s="144"/>
      <c r="C71" s="144"/>
      <c r="D71" s="144"/>
      <c r="E71" s="144"/>
      <c r="F71" s="144"/>
      <c r="G71" s="144"/>
      <c r="H71" s="154"/>
      <c r="I71" s="144"/>
      <c r="J71" s="144"/>
      <c r="K71" s="144"/>
      <c r="L71" s="154"/>
      <c r="M71" s="144"/>
      <c r="N71" s="144"/>
      <c r="O71" s="155">
        <f>Table3[[#This Row],[UNIT PRICE]]*Table3[[#This Row],[QTY]]</f>
        <v>0</v>
      </c>
      <c r="P71" s="144"/>
      <c r="Q71" s="144"/>
      <c r="R71" s="156"/>
      <c r="S71" s="144"/>
      <c r="T71" s="157"/>
      <c r="U71" s="158"/>
      <c r="V71" s="144"/>
      <c r="W71" s="144"/>
      <c r="X71" s="144"/>
      <c r="Y71" s="144"/>
      <c r="Z71" s="159"/>
      <c r="AA71" s="159"/>
      <c r="AB71" s="159"/>
      <c r="AC71" s="144"/>
      <c r="AD71" s="144"/>
      <c r="AE71" s="144"/>
      <c r="AF71" s="144"/>
      <c r="AG71" s="144"/>
      <c r="AH71" s="144"/>
      <c r="AI71" s="144"/>
      <c r="AJ71" s="144"/>
      <c r="AK71" s="144"/>
      <c r="AL71" s="144"/>
      <c r="GW71" s="25"/>
      <c r="HD71" s="26"/>
      <c r="HE71" s="25"/>
      <c r="HF71" s="25"/>
      <c r="HG71" s="25"/>
      <c r="HH71" s="25"/>
      <c r="HI71" s="25"/>
      <c r="HJ71" s="25"/>
      <c r="HK71" s="25"/>
      <c r="HL71" s="1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32"/>
      <c r="IN71" s="32"/>
    </row>
    <row r="72" spans="2:248" s="24" customFormat="1" ht="54.6" customHeight="1" x14ac:dyDescent="0.25">
      <c r="B72" s="144"/>
      <c r="C72" s="144"/>
      <c r="D72" s="144"/>
      <c r="E72" s="144"/>
      <c r="F72" s="144"/>
      <c r="G72" s="144"/>
      <c r="H72" s="154"/>
      <c r="I72" s="144"/>
      <c r="J72" s="144"/>
      <c r="K72" s="144"/>
      <c r="L72" s="154"/>
      <c r="M72" s="144"/>
      <c r="N72" s="144"/>
      <c r="O72" s="155">
        <f>Table3[[#This Row],[UNIT PRICE]]*Table3[[#This Row],[QTY]]</f>
        <v>0</v>
      </c>
      <c r="P72" s="144"/>
      <c r="Q72" s="144"/>
      <c r="R72" s="156"/>
      <c r="S72" s="144"/>
      <c r="T72" s="157"/>
      <c r="U72" s="158"/>
      <c r="V72" s="144"/>
      <c r="W72" s="144"/>
      <c r="X72" s="144"/>
      <c r="Y72" s="144"/>
      <c r="Z72" s="159"/>
      <c r="AA72" s="159"/>
      <c r="AB72" s="159"/>
      <c r="AC72" s="144"/>
      <c r="AD72" s="144"/>
      <c r="AE72" s="144"/>
      <c r="AF72" s="144"/>
      <c r="AG72" s="144"/>
      <c r="AH72" s="144"/>
      <c r="AI72" s="144"/>
      <c r="AJ72" s="144"/>
      <c r="AK72" s="144"/>
      <c r="AL72" s="144"/>
      <c r="GW72" s="25"/>
      <c r="HD72" s="26"/>
      <c r="HE72" s="25"/>
      <c r="HF72" s="25"/>
      <c r="HG72" s="25"/>
      <c r="HH72" s="25"/>
      <c r="HI72" s="25"/>
      <c r="HJ72" s="1"/>
      <c r="HK72" s="1"/>
      <c r="HL72" s="1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32"/>
      <c r="IN72" s="32"/>
    </row>
    <row r="73" spans="2:248" s="24" customFormat="1" ht="54.6" customHeight="1" x14ac:dyDescent="0.25">
      <c r="B73" s="144"/>
      <c r="C73" s="144"/>
      <c r="D73" s="144"/>
      <c r="E73" s="144"/>
      <c r="F73" s="144"/>
      <c r="G73" s="144"/>
      <c r="H73" s="154"/>
      <c r="I73" s="144"/>
      <c r="J73" s="144"/>
      <c r="K73" s="144"/>
      <c r="L73" s="154"/>
      <c r="M73" s="144"/>
      <c r="N73" s="144"/>
      <c r="O73" s="155">
        <f>Table3[[#This Row],[UNIT PRICE]]*Table3[[#This Row],[QTY]]</f>
        <v>0</v>
      </c>
      <c r="P73" s="144"/>
      <c r="Q73" s="144"/>
      <c r="R73" s="156"/>
      <c r="S73" s="144"/>
      <c r="T73" s="157"/>
      <c r="U73" s="158"/>
      <c r="V73" s="144"/>
      <c r="W73" s="144"/>
      <c r="X73" s="144"/>
      <c r="Y73" s="144"/>
      <c r="Z73" s="159"/>
      <c r="AA73" s="159"/>
      <c r="AB73" s="159"/>
      <c r="AC73" s="144"/>
      <c r="AD73" s="144"/>
      <c r="AE73" s="144"/>
      <c r="AF73" s="144"/>
      <c r="AG73" s="144"/>
      <c r="AH73" s="144"/>
      <c r="AI73" s="144"/>
      <c r="AJ73" s="144"/>
      <c r="AK73" s="144"/>
      <c r="AL73" s="144"/>
      <c r="GW73" s="25"/>
      <c r="HD73" s="26"/>
      <c r="HE73" s="25"/>
      <c r="HF73" s="25"/>
      <c r="HG73" s="25"/>
      <c r="HH73" s="25"/>
      <c r="HI73" s="25"/>
      <c r="HJ73" s="1"/>
      <c r="HK73" s="1"/>
      <c r="HL73" s="1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32"/>
      <c r="IN73" s="32"/>
    </row>
    <row r="74" spans="2:248" s="24" customFormat="1" ht="54.6" customHeight="1" x14ac:dyDescent="0.25">
      <c r="B74" s="144"/>
      <c r="C74" s="144"/>
      <c r="D74" s="144"/>
      <c r="E74" s="144"/>
      <c r="F74" s="144"/>
      <c r="G74" s="144"/>
      <c r="H74" s="154"/>
      <c r="I74" s="144"/>
      <c r="J74" s="144"/>
      <c r="K74" s="144"/>
      <c r="L74" s="154"/>
      <c r="M74" s="144"/>
      <c r="N74" s="144"/>
      <c r="O74" s="155">
        <f>Table3[[#This Row],[UNIT PRICE]]*Table3[[#This Row],[QTY]]</f>
        <v>0</v>
      </c>
      <c r="P74" s="144"/>
      <c r="Q74" s="144"/>
      <c r="R74" s="156"/>
      <c r="S74" s="144"/>
      <c r="T74" s="157"/>
      <c r="U74" s="158"/>
      <c r="V74" s="144"/>
      <c r="W74" s="144"/>
      <c r="X74" s="144"/>
      <c r="Y74" s="144"/>
      <c r="Z74" s="159"/>
      <c r="AA74" s="159"/>
      <c r="AB74" s="159"/>
      <c r="AC74" s="144"/>
      <c r="AD74" s="144"/>
      <c r="AE74" s="144"/>
      <c r="AF74" s="144"/>
      <c r="AG74" s="144"/>
      <c r="AH74" s="144"/>
      <c r="AI74" s="144"/>
      <c r="AJ74" s="144"/>
      <c r="AK74" s="144"/>
      <c r="AL74" s="144"/>
      <c r="GW74" s="25"/>
      <c r="HD74" s="26"/>
      <c r="HE74" s="25"/>
      <c r="HF74" s="25"/>
      <c r="HG74" s="25"/>
      <c r="HH74" s="25"/>
      <c r="HI74" s="25"/>
      <c r="HJ74" s="1"/>
      <c r="HK74" s="1"/>
      <c r="HL74" s="1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32"/>
      <c r="IN74" s="32"/>
    </row>
    <row r="75" spans="2:248" s="24" customFormat="1" ht="54.6" customHeight="1" x14ac:dyDescent="0.25">
      <c r="B75" s="144"/>
      <c r="C75" s="144"/>
      <c r="D75" s="144"/>
      <c r="E75" s="144"/>
      <c r="F75" s="144"/>
      <c r="G75" s="144"/>
      <c r="H75" s="154"/>
      <c r="I75" s="144"/>
      <c r="J75" s="144"/>
      <c r="K75" s="144"/>
      <c r="L75" s="154"/>
      <c r="M75" s="144"/>
      <c r="N75" s="144"/>
      <c r="O75" s="155">
        <f>Table3[[#This Row],[UNIT PRICE]]*Table3[[#This Row],[QTY]]</f>
        <v>0</v>
      </c>
      <c r="P75" s="144"/>
      <c r="Q75" s="144"/>
      <c r="R75" s="156"/>
      <c r="S75" s="144"/>
      <c r="T75" s="157"/>
      <c r="U75" s="158"/>
      <c r="V75" s="144"/>
      <c r="W75" s="144"/>
      <c r="X75" s="144"/>
      <c r="Y75" s="144"/>
      <c r="Z75" s="159"/>
      <c r="AA75" s="159"/>
      <c r="AB75" s="159"/>
      <c r="AC75" s="144"/>
      <c r="AD75" s="144"/>
      <c r="AE75" s="144"/>
      <c r="AF75" s="144"/>
      <c r="AG75" s="144"/>
      <c r="AH75" s="144"/>
      <c r="AI75" s="144"/>
      <c r="AJ75" s="144"/>
      <c r="AK75" s="144"/>
      <c r="AL75" s="144"/>
      <c r="GW75" s="25"/>
      <c r="HD75" s="26"/>
      <c r="HE75" s="25"/>
      <c r="HF75" s="25"/>
      <c r="HG75" s="25"/>
      <c r="HH75" s="25"/>
      <c r="HI75" s="25"/>
      <c r="HJ75" s="1"/>
      <c r="HK75" s="1"/>
      <c r="HL75" s="1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32"/>
      <c r="IN75" s="32"/>
    </row>
    <row r="76" spans="2:248" s="24" customFormat="1" ht="54.6" customHeight="1" x14ac:dyDescent="0.25">
      <c r="B76" s="144"/>
      <c r="C76" s="144"/>
      <c r="D76" s="144"/>
      <c r="E76" s="144"/>
      <c r="F76" s="144"/>
      <c r="G76" s="144"/>
      <c r="H76" s="154"/>
      <c r="I76" s="144"/>
      <c r="J76" s="144"/>
      <c r="K76" s="144"/>
      <c r="L76" s="154"/>
      <c r="M76" s="144"/>
      <c r="N76" s="144"/>
      <c r="O76" s="155">
        <f>Table3[[#This Row],[UNIT PRICE]]*Table3[[#This Row],[QTY]]</f>
        <v>0</v>
      </c>
      <c r="P76" s="144"/>
      <c r="Q76" s="144"/>
      <c r="R76" s="156"/>
      <c r="S76" s="144"/>
      <c r="T76" s="157"/>
      <c r="U76" s="158"/>
      <c r="V76" s="144"/>
      <c r="W76" s="144"/>
      <c r="X76" s="144"/>
      <c r="Y76" s="144"/>
      <c r="Z76" s="159"/>
      <c r="AA76" s="159"/>
      <c r="AB76" s="159"/>
      <c r="AC76" s="144"/>
      <c r="AD76" s="144"/>
      <c r="AE76" s="144"/>
      <c r="AF76" s="144"/>
      <c r="AG76" s="144"/>
      <c r="AH76" s="144"/>
      <c r="AI76" s="144"/>
      <c r="AJ76" s="144"/>
      <c r="AK76" s="144"/>
      <c r="AL76" s="144"/>
      <c r="GW76" s="25"/>
      <c r="HD76" s="26"/>
      <c r="HE76" s="25"/>
      <c r="HF76" s="25"/>
      <c r="HG76" s="25"/>
      <c r="HH76" s="25"/>
      <c r="HI76" s="25"/>
      <c r="HJ76" s="1"/>
      <c r="HK76" s="1"/>
      <c r="HL76" s="1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32"/>
      <c r="IN76" s="32"/>
    </row>
    <row r="77" spans="2:248" s="24" customFormat="1" ht="54.6" customHeight="1" x14ac:dyDescent="0.25">
      <c r="B77" s="144"/>
      <c r="C77" s="144"/>
      <c r="D77" s="144"/>
      <c r="E77" s="144"/>
      <c r="F77" s="144"/>
      <c r="G77" s="144"/>
      <c r="H77" s="154"/>
      <c r="I77" s="144"/>
      <c r="J77" s="144"/>
      <c r="K77" s="144"/>
      <c r="L77" s="154"/>
      <c r="M77" s="144"/>
      <c r="N77" s="144"/>
      <c r="O77" s="155">
        <f>Table3[[#This Row],[UNIT PRICE]]*Table3[[#This Row],[QTY]]</f>
        <v>0</v>
      </c>
      <c r="P77" s="144"/>
      <c r="Q77" s="144"/>
      <c r="R77" s="156"/>
      <c r="S77" s="144"/>
      <c r="T77" s="157"/>
      <c r="U77" s="158"/>
      <c r="V77" s="144"/>
      <c r="W77" s="144"/>
      <c r="X77" s="144"/>
      <c r="Y77" s="144"/>
      <c r="Z77" s="159"/>
      <c r="AA77" s="159"/>
      <c r="AB77" s="159"/>
      <c r="AC77" s="144"/>
      <c r="AD77" s="144"/>
      <c r="AE77" s="144"/>
      <c r="AF77" s="144"/>
      <c r="AG77" s="144"/>
      <c r="AH77" s="144"/>
      <c r="AI77" s="144"/>
      <c r="AJ77" s="144"/>
      <c r="AK77" s="144"/>
      <c r="AL77" s="144"/>
      <c r="GW77" s="25"/>
      <c r="HD77" s="26"/>
      <c r="HE77" s="25"/>
      <c r="HF77" s="25"/>
      <c r="HG77" s="25"/>
      <c r="HH77" s="25"/>
      <c r="HI77" s="25"/>
      <c r="HJ77" s="1"/>
      <c r="HK77" s="1"/>
      <c r="HL77" s="1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32"/>
      <c r="IN77" s="32"/>
    </row>
    <row r="78" spans="2:248" s="24" customFormat="1" ht="54.6" customHeight="1" x14ac:dyDescent="0.25">
      <c r="B78" s="144"/>
      <c r="C78" s="144"/>
      <c r="D78" s="144"/>
      <c r="E78" s="144"/>
      <c r="F78" s="144"/>
      <c r="G78" s="144"/>
      <c r="H78" s="154"/>
      <c r="I78" s="144"/>
      <c r="J78" s="144"/>
      <c r="K78" s="144"/>
      <c r="L78" s="154"/>
      <c r="M78" s="144"/>
      <c r="N78" s="144"/>
      <c r="O78" s="155">
        <f>Table3[[#This Row],[UNIT PRICE]]*Table3[[#This Row],[QTY]]</f>
        <v>0</v>
      </c>
      <c r="P78" s="144"/>
      <c r="Q78" s="144"/>
      <c r="R78" s="156"/>
      <c r="S78" s="144"/>
      <c r="T78" s="157"/>
      <c r="U78" s="158"/>
      <c r="V78" s="144"/>
      <c r="W78" s="144"/>
      <c r="X78" s="144"/>
      <c r="Y78" s="144"/>
      <c r="Z78" s="159"/>
      <c r="AA78" s="159"/>
      <c r="AB78" s="159"/>
      <c r="AC78" s="144"/>
      <c r="AD78" s="144"/>
      <c r="AE78" s="144"/>
      <c r="AF78" s="144"/>
      <c r="AG78" s="144"/>
      <c r="AH78" s="144"/>
      <c r="AI78" s="144"/>
      <c r="AJ78" s="144"/>
      <c r="AK78" s="144"/>
      <c r="AL78" s="144"/>
      <c r="GW78" s="25"/>
      <c r="HD78" s="26"/>
      <c r="HE78" s="25"/>
      <c r="HF78" s="1"/>
      <c r="HG78" s="1"/>
      <c r="HH78" s="1"/>
      <c r="HI78" s="25"/>
      <c r="HJ78" s="1"/>
      <c r="HK78" s="1"/>
      <c r="HL78" s="1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32"/>
      <c r="IN78" s="32"/>
    </row>
    <row r="79" spans="2:248" s="24" customFormat="1" ht="54.6" customHeight="1" x14ac:dyDescent="0.25">
      <c r="B79" s="144"/>
      <c r="C79" s="144"/>
      <c r="D79" s="144"/>
      <c r="E79" s="144"/>
      <c r="F79" s="144"/>
      <c r="G79" s="144"/>
      <c r="H79" s="154"/>
      <c r="I79" s="144"/>
      <c r="J79" s="144"/>
      <c r="K79" s="144"/>
      <c r="L79" s="154"/>
      <c r="M79" s="144"/>
      <c r="N79" s="144"/>
      <c r="O79" s="155">
        <f>Table3[[#This Row],[UNIT PRICE]]*Table3[[#This Row],[QTY]]</f>
        <v>0</v>
      </c>
      <c r="P79" s="144"/>
      <c r="Q79" s="144"/>
      <c r="R79" s="156"/>
      <c r="S79" s="144"/>
      <c r="T79" s="157"/>
      <c r="U79" s="158"/>
      <c r="V79" s="144"/>
      <c r="W79" s="144"/>
      <c r="X79" s="144"/>
      <c r="Y79" s="144"/>
      <c r="Z79" s="159"/>
      <c r="AA79" s="159"/>
      <c r="AB79" s="159"/>
      <c r="AC79" s="144"/>
      <c r="AD79" s="144"/>
      <c r="AE79" s="144"/>
      <c r="AF79" s="144"/>
      <c r="AG79" s="144"/>
      <c r="AH79" s="144"/>
      <c r="AI79" s="144"/>
      <c r="AJ79" s="144"/>
      <c r="AK79" s="144"/>
      <c r="AL79" s="144"/>
      <c r="GW79" s="25"/>
      <c r="HD79" s="26"/>
      <c r="HE79" s="25"/>
      <c r="HF79" s="1"/>
      <c r="HG79" s="1"/>
      <c r="HH79" s="1"/>
      <c r="HI79" s="25"/>
      <c r="HJ79" s="1"/>
      <c r="HK79" s="1"/>
      <c r="HL79" s="1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32"/>
      <c r="IN79" s="32"/>
    </row>
    <row r="80" spans="2:248" s="24" customFormat="1" ht="54.6" customHeight="1" x14ac:dyDescent="0.25">
      <c r="B80" s="144"/>
      <c r="C80" s="144"/>
      <c r="D80" s="144"/>
      <c r="E80" s="144"/>
      <c r="F80" s="144"/>
      <c r="G80" s="144"/>
      <c r="H80" s="154"/>
      <c r="I80" s="144"/>
      <c r="J80" s="144"/>
      <c r="K80" s="144"/>
      <c r="L80" s="154"/>
      <c r="M80" s="144"/>
      <c r="N80" s="144"/>
      <c r="O80" s="155">
        <f>Table3[[#This Row],[UNIT PRICE]]*Table3[[#This Row],[QTY]]</f>
        <v>0</v>
      </c>
      <c r="P80" s="144"/>
      <c r="Q80" s="144"/>
      <c r="R80" s="156"/>
      <c r="S80" s="144"/>
      <c r="T80" s="157"/>
      <c r="U80" s="158"/>
      <c r="V80" s="144"/>
      <c r="W80" s="144"/>
      <c r="X80" s="144"/>
      <c r="Y80" s="144"/>
      <c r="Z80" s="159"/>
      <c r="AA80" s="159"/>
      <c r="AB80" s="159"/>
      <c r="AC80" s="144"/>
      <c r="AD80" s="144"/>
      <c r="AE80" s="144"/>
      <c r="AF80" s="144"/>
      <c r="AG80" s="144"/>
      <c r="AH80" s="144"/>
      <c r="AI80" s="144"/>
      <c r="AJ80" s="144"/>
      <c r="AK80" s="144"/>
      <c r="AL80" s="144"/>
      <c r="GW80" s="25"/>
      <c r="HD80" s="26"/>
      <c r="HE80" s="25"/>
      <c r="HF80" s="1"/>
      <c r="HG80" s="1"/>
      <c r="HH80" s="1"/>
      <c r="HI80" s="25"/>
      <c r="HJ80" s="1"/>
      <c r="HK80" s="1"/>
      <c r="HL80" s="1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32"/>
      <c r="IN80" s="32"/>
    </row>
    <row r="81" spans="2:248" s="24" customFormat="1" ht="54.6" customHeight="1" x14ac:dyDescent="0.25">
      <c r="B81" s="144"/>
      <c r="C81" s="144"/>
      <c r="D81" s="144"/>
      <c r="E81" s="144"/>
      <c r="F81" s="144"/>
      <c r="G81" s="144"/>
      <c r="H81" s="154"/>
      <c r="I81" s="144"/>
      <c r="J81" s="144"/>
      <c r="K81" s="144"/>
      <c r="L81" s="154"/>
      <c r="M81" s="144"/>
      <c r="N81" s="144"/>
      <c r="O81" s="155">
        <f>Table3[[#This Row],[UNIT PRICE]]*Table3[[#This Row],[QTY]]</f>
        <v>0</v>
      </c>
      <c r="P81" s="144"/>
      <c r="Q81" s="144"/>
      <c r="R81" s="156"/>
      <c r="S81" s="144"/>
      <c r="T81" s="157"/>
      <c r="U81" s="158"/>
      <c r="V81" s="144"/>
      <c r="W81" s="144"/>
      <c r="X81" s="144"/>
      <c r="Y81" s="144"/>
      <c r="Z81" s="159"/>
      <c r="AA81" s="159"/>
      <c r="AB81" s="159"/>
      <c r="AC81" s="144"/>
      <c r="AD81" s="144"/>
      <c r="AE81" s="144"/>
      <c r="AF81" s="144"/>
      <c r="AG81" s="144"/>
      <c r="AH81" s="144"/>
      <c r="AI81" s="144"/>
      <c r="AJ81" s="144"/>
      <c r="AK81" s="144"/>
      <c r="AL81" s="144"/>
      <c r="GW81" s="25"/>
      <c r="HD81" s="26"/>
      <c r="HE81" s="25"/>
      <c r="HF81" s="1"/>
      <c r="HG81" s="1"/>
      <c r="HH81" s="1"/>
      <c r="HI81" s="25"/>
      <c r="HJ81" s="1"/>
      <c r="HK81" s="1"/>
      <c r="HL81" s="1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32"/>
      <c r="IN81" s="32"/>
    </row>
    <row r="82" spans="2:248" s="24" customFormat="1" ht="54.6" customHeight="1" x14ac:dyDescent="0.25">
      <c r="B82" s="144"/>
      <c r="C82" s="144"/>
      <c r="D82" s="144"/>
      <c r="E82" s="144"/>
      <c r="F82" s="144"/>
      <c r="G82" s="144"/>
      <c r="H82" s="154"/>
      <c r="I82" s="144"/>
      <c r="J82" s="144"/>
      <c r="K82" s="144"/>
      <c r="L82" s="154"/>
      <c r="M82" s="144"/>
      <c r="N82" s="144"/>
      <c r="O82" s="155">
        <f>Table3[[#This Row],[UNIT PRICE]]*Table3[[#This Row],[QTY]]</f>
        <v>0</v>
      </c>
      <c r="P82" s="144"/>
      <c r="Q82" s="144"/>
      <c r="R82" s="156"/>
      <c r="S82" s="144"/>
      <c r="T82" s="157"/>
      <c r="U82" s="158"/>
      <c r="V82" s="144"/>
      <c r="W82" s="144"/>
      <c r="X82" s="144"/>
      <c r="Y82" s="144"/>
      <c r="Z82" s="159"/>
      <c r="AA82" s="159"/>
      <c r="AB82" s="159"/>
      <c r="AC82" s="144"/>
      <c r="AD82" s="144"/>
      <c r="AE82" s="144"/>
      <c r="AF82" s="144"/>
      <c r="AG82" s="144"/>
      <c r="AH82" s="144"/>
      <c r="AI82" s="144"/>
      <c r="AJ82" s="144"/>
      <c r="AK82" s="144"/>
      <c r="AL82" s="144"/>
      <c r="GW82" s="25"/>
      <c r="HD82" s="26"/>
      <c r="HE82" s="25"/>
      <c r="HF82" s="1"/>
      <c r="HG82" s="1"/>
      <c r="HH82" s="1"/>
      <c r="HI82" s="25"/>
      <c r="HJ82" s="1"/>
      <c r="HK82" s="1"/>
      <c r="HL82" s="1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32"/>
      <c r="IN82" s="32"/>
    </row>
    <row r="83" spans="2:248" s="24" customFormat="1" ht="54.6" customHeight="1" x14ac:dyDescent="0.25">
      <c r="B83" s="144"/>
      <c r="C83" s="144"/>
      <c r="D83" s="144"/>
      <c r="E83" s="144"/>
      <c r="F83" s="144"/>
      <c r="G83" s="144"/>
      <c r="H83" s="154"/>
      <c r="I83" s="144"/>
      <c r="J83" s="144"/>
      <c r="K83" s="144"/>
      <c r="L83" s="154"/>
      <c r="M83" s="144"/>
      <c r="N83" s="144"/>
      <c r="O83" s="155">
        <f>Table3[[#This Row],[UNIT PRICE]]*Table3[[#This Row],[QTY]]</f>
        <v>0</v>
      </c>
      <c r="P83" s="144"/>
      <c r="Q83" s="144"/>
      <c r="R83" s="156"/>
      <c r="S83" s="144"/>
      <c r="T83" s="157"/>
      <c r="U83" s="158"/>
      <c r="V83" s="144"/>
      <c r="W83" s="144"/>
      <c r="X83" s="144"/>
      <c r="Y83" s="144"/>
      <c r="Z83" s="159"/>
      <c r="AA83" s="159"/>
      <c r="AB83" s="159"/>
      <c r="AC83" s="144"/>
      <c r="AD83" s="144"/>
      <c r="AE83" s="144"/>
      <c r="AF83" s="144"/>
      <c r="AG83" s="144"/>
      <c r="AH83" s="144"/>
      <c r="AI83" s="144"/>
      <c r="AJ83" s="144"/>
      <c r="AK83" s="144"/>
      <c r="AL83" s="144"/>
      <c r="GW83" s="25"/>
      <c r="HD83" s="26"/>
      <c r="HE83" s="25"/>
      <c r="HF83" s="1"/>
      <c r="HG83" s="1"/>
      <c r="HH83" s="1"/>
      <c r="HI83" s="25"/>
      <c r="HJ83" s="1"/>
      <c r="HK83" s="1"/>
      <c r="HL83" s="1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32"/>
      <c r="IN83" s="32"/>
    </row>
    <row r="84" spans="2:248" s="24" customFormat="1" ht="54.6" customHeight="1" x14ac:dyDescent="0.25">
      <c r="B84" s="144"/>
      <c r="C84" s="144"/>
      <c r="D84" s="144"/>
      <c r="E84" s="144"/>
      <c r="F84" s="144"/>
      <c r="G84" s="144"/>
      <c r="H84" s="154"/>
      <c r="I84" s="144"/>
      <c r="J84" s="144"/>
      <c r="K84" s="144"/>
      <c r="L84" s="154"/>
      <c r="M84" s="144"/>
      <c r="N84" s="144"/>
      <c r="O84" s="155">
        <f>Table3[[#This Row],[UNIT PRICE]]*Table3[[#This Row],[QTY]]</f>
        <v>0</v>
      </c>
      <c r="P84" s="144"/>
      <c r="Q84" s="144"/>
      <c r="R84" s="156"/>
      <c r="S84" s="144"/>
      <c r="T84" s="157"/>
      <c r="U84" s="158"/>
      <c r="V84" s="144"/>
      <c r="W84" s="144"/>
      <c r="X84" s="144"/>
      <c r="Y84" s="144"/>
      <c r="Z84" s="159"/>
      <c r="AA84" s="159"/>
      <c r="AB84" s="159"/>
      <c r="AC84" s="144"/>
      <c r="AD84" s="144"/>
      <c r="AE84" s="144"/>
      <c r="AF84" s="144"/>
      <c r="AG84" s="144"/>
      <c r="AH84" s="144"/>
      <c r="AI84" s="144"/>
      <c r="AJ84" s="144"/>
      <c r="AK84" s="144"/>
      <c r="AL84" s="144"/>
      <c r="GW84" s="25"/>
      <c r="HD84" s="26"/>
      <c r="HE84" s="25"/>
      <c r="HF84" s="1"/>
      <c r="HG84" s="1"/>
      <c r="HH84" s="1"/>
      <c r="HI84" s="25"/>
      <c r="HJ84" s="1"/>
      <c r="HK84" s="1"/>
      <c r="HL84" s="1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32"/>
      <c r="IN84" s="32"/>
    </row>
    <row r="85" spans="2:248" s="24" customFormat="1" ht="54.6" customHeight="1" x14ac:dyDescent="0.25">
      <c r="B85" s="144"/>
      <c r="C85" s="144"/>
      <c r="D85" s="144"/>
      <c r="E85" s="144"/>
      <c r="F85" s="144"/>
      <c r="G85" s="144"/>
      <c r="H85" s="154"/>
      <c r="I85" s="144"/>
      <c r="J85" s="144"/>
      <c r="K85" s="144"/>
      <c r="L85" s="154"/>
      <c r="M85" s="144"/>
      <c r="N85" s="144"/>
      <c r="O85" s="155">
        <f>Table3[[#This Row],[UNIT PRICE]]*Table3[[#This Row],[QTY]]</f>
        <v>0</v>
      </c>
      <c r="P85" s="144"/>
      <c r="Q85" s="144"/>
      <c r="R85" s="156"/>
      <c r="S85" s="144"/>
      <c r="T85" s="157"/>
      <c r="U85" s="158"/>
      <c r="V85" s="144"/>
      <c r="W85" s="144"/>
      <c r="X85" s="144"/>
      <c r="Y85" s="144"/>
      <c r="Z85" s="159"/>
      <c r="AA85" s="159"/>
      <c r="AB85" s="159"/>
      <c r="AC85" s="144"/>
      <c r="AD85" s="144"/>
      <c r="AE85" s="144"/>
      <c r="AF85" s="144"/>
      <c r="AG85" s="144"/>
      <c r="AH85" s="144"/>
      <c r="AI85" s="144"/>
      <c r="AJ85" s="144"/>
      <c r="AK85" s="144"/>
      <c r="AL85" s="144"/>
      <c r="GW85" s="25"/>
      <c r="HD85" s="26"/>
      <c r="HE85" s="25"/>
      <c r="HF85" s="1"/>
      <c r="HG85" s="1"/>
      <c r="HH85" s="1"/>
      <c r="HI85" s="25"/>
      <c r="HJ85" s="1"/>
      <c r="HK85" s="1"/>
      <c r="HL85" s="1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32"/>
      <c r="IN85" s="32"/>
    </row>
    <row r="86" spans="2:248" s="24" customFormat="1" ht="54.6" customHeight="1" x14ac:dyDescent="0.25">
      <c r="B86" s="144"/>
      <c r="C86" s="144"/>
      <c r="D86" s="144"/>
      <c r="E86" s="144"/>
      <c r="F86" s="144"/>
      <c r="G86" s="144"/>
      <c r="H86" s="154"/>
      <c r="I86" s="144"/>
      <c r="J86" s="144"/>
      <c r="K86" s="144"/>
      <c r="L86" s="154"/>
      <c r="M86" s="144"/>
      <c r="N86" s="144"/>
      <c r="O86" s="155">
        <f>Table3[[#This Row],[UNIT PRICE]]*Table3[[#This Row],[QTY]]</f>
        <v>0</v>
      </c>
      <c r="P86" s="144"/>
      <c r="Q86" s="144"/>
      <c r="R86" s="156"/>
      <c r="S86" s="144"/>
      <c r="T86" s="157"/>
      <c r="U86" s="158"/>
      <c r="V86" s="144"/>
      <c r="W86" s="144"/>
      <c r="X86" s="144"/>
      <c r="Y86" s="144"/>
      <c r="Z86" s="159"/>
      <c r="AA86" s="159"/>
      <c r="AB86" s="159"/>
      <c r="AC86" s="144"/>
      <c r="AD86" s="144"/>
      <c r="AE86" s="144"/>
      <c r="AF86" s="144"/>
      <c r="AG86" s="144"/>
      <c r="AH86" s="144"/>
      <c r="AI86" s="144"/>
      <c r="AJ86" s="144"/>
      <c r="AK86" s="144"/>
      <c r="AL86" s="144"/>
      <c r="GW86" s="25"/>
      <c r="HD86" s="26"/>
      <c r="HE86" s="25"/>
      <c r="HF86" s="1"/>
      <c r="HG86" s="1"/>
      <c r="HH86" s="1"/>
      <c r="HI86" s="25"/>
      <c r="HJ86" s="1"/>
      <c r="HK86" s="1"/>
      <c r="HL86" s="1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32"/>
      <c r="IN86" s="32"/>
    </row>
    <row r="87" spans="2:248" s="24" customFormat="1" ht="54.6" customHeight="1" x14ac:dyDescent="0.25">
      <c r="B87" s="144"/>
      <c r="C87" s="144"/>
      <c r="D87" s="144"/>
      <c r="E87" s="144"/>
      <c r="F87" s="144"/>
      <c r="G87" s="144"/>
      <c r="H87" s="154"/>
      <c r="I87" s="144"/>
      <c r="J87" s="144"/>
      <c r="K87" s="144"/>
      <c r="L87" s="154"/>
      <c r="M87" s="144"/>
      <c r="N87" s="144"/>
      <c r="O87" s="155">
        <f>Table3[[#This Row],[UNIT PRICE]]*Table3[[#This Row],[QTY]]</f>
        <v>0</v>
      </c>
      <c r="P87" s="144"/>
      <c r="Q87" s="144"/>
      <c r="R87" s="156"/>
      <c r="S87" s="144"/>
      <c r="T87" s="157"/>
      <c r="U87" s="158"/>
      <c r="V87" s="144"/>
      <c r="W87" s="144"/>
      <c r="X87" s="144"/>
      <c r="Y87" s="144"/>
      <c r="Z87" s="159"/>
      <c r="AA87" s="159"/>
      <c r="AB87" s="159"/>
      <c r="AC87" s="144"/>
      <c r="AD87" s="144"/>
      <c r="AE87" s="144"/>
      <c r="AF87" s="144"/>
      <c r="AG87" s="144"/>
      <c r="AH87" s="144"/>
      <c r="AI87" s="144"/>
      <c r="AJ87" s="144"/>
      <c r="AK87" s="144"/>
      <c r="AL87" s="144"/>
      <c r="GW87" s="25"/>
      <c r="HD87" s="26"/>
      <c r="HE87" s="25"/>
      <c r="HF87" s="1"/>
      <c r="HG87" s="1"/>
      <c r="HH87" s="1"/>
      <c r="HI87" s="25"/>
      <c r="HJ87" s="1"/>
      <c r="HK87" s="1"/>
      <c r="HL87" s="1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32"/>
      <c r="IN87" s="32"/>
    </row>
    <row r="88" spans="2:248" s="24" customFormat="1" ht="54.6" customHeight="1" x14ac:dyDescent="0.25">
      <c r="B88" s="144"/>
      <c r="C88" s="144"/>
      <c r="D88" s="144"/>
      <c r="E88" s="144"/>
      <c r="F88" s="144"/>
      <c r="G88" s="144"/>
      <c r="H88" s="154"/>
      <c r="I88" s="144"/>
      <c r="J88" s="144"/>
      <c r="K88" s="144"/>
      <c r="L88" s="154"/>
      <c r="M88" s="144"/>
      <c r="N88" s="144"/>
      <c r="O88" s="155">
        <f>Table3[[#This Row],[UNIT PRICE]]*Table3[[#This Row],[QTY]]</f>
        <v>0</v>
      </c>
      <c r="P88" s="144"/>
      <c r="Q88" s="144"/>
      <c r="R88" s="156"/>
      <c r="S88" s="144"/>
      <c r="T88" s="157"/>
      <c r="U88" s="158"/>
      <c r="V88" s="144"/>
      <c r="W88" s="144"/>
      <c r="X88" s="144"/>
      <c r="Y88" s="144"/>
      <c r="Z88" s="159"/>
      <c r="AA88" s="159"/>
      <c r="AB88" s="159"/>
      <c r="AC88" s="144"/>
      <c r="AD88" s="144"/>
      <c r="AE88" s="144"/>
      <c r="AF88" s="144"/>
      <c r="AG88" s="144"/>
      <c r="AH88" s="144"/>
      <c r="AI88" s="144"/>
      <c r="AJ88" s="144"/>
      <c r="AK88" s="144"/>
      <c r="AL88" s="144"/>
      <c r="GW88" s="25"/>
      <c r="HD88" s="26"/>
      <c r="HE88" s="25"/>
      <c r="HF88" s="1"/>
      <c r="HG88" s="1"/>
      <c r="HH88" s="1"/>
      <c r="HI88" s="1"/>
      <c r="HJ88" s="1"/>
      <c r="HK88" s="1"/>
      <c r="HL88" s="1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32"/>
      <c r="IN88" s="32"/>
    </row>
    <row r="89" spans="2:248" s="24" customFormat="1" ht="54.6" customHeight="1" x14ac:dyDescent="0.25">
      <c r="B89" s="144"/>
      <c r="C89" s="144"/>
      <c r="D89" s="144"/>
      <c r="E89" s="144"/>
      <c r="F89" s="144"/>
      <c r="G89" s="144"/>
      <c r="H89" s="154"/>
      <c r="I89" s="144"/>
      <c r="J89" s="144"/>
      <c r="K89" s="144"/>
      <c r="L89" s="154"/>
      <c r="M89" s="144"/>
      <c r="N89" s="144"/>
      <c r="O89" s="155">
        <f>Table3[[#This Row],[UNIT PRICE]]*Table3[[#This Row],[QTY]]</f>
        <v>0</v>
      </c>
      <c r="P89" s="144"/>
      <c r="Q89" s="144"/>
      <c r="R89" s="156"/>
      <c r="S89" s="144"/>
      <c r="T89" s="157"/>
      <c r="U89" s="158"/>
      <c r="V89" s="144"/>
      <c r="W89" s="144"/>
      <c r="X89" s="144"/>
      <c r="Y89" s="144"/>
      <c r="Z89" s="159"/>
      <c r="AA89" s="159"/>
      <c r="AB89" s="159"/>
      <c r="AC89" s="144"/>
      <c r="AD89" s="144"/>
      <c r="AE89" s="144"/>
      <c r="AF89" s="144"/>
      <c r="AG89" s="144"/>
      <c r="AH89" s="144"/>
      <c r="AI89" s="144"/>
      <c r="AJ89" s="144"/>
      <c r="AK89" s="144"/>
      <c r="AL89" s="144"/>
      <c r="GW89" s="25"/>
      <c r="HD89" s="26"/>
      <c r="HE89" s="25"/>
      <c r="HF89" s="1"/>
      <c r="HG89" s="1"/>
      <c r="HH89" s="1"/>
      <c r="HI89" s="1"/>
      <c r="HJ89" s="1"/>
      <c r="HK89" s="1"/>
      <c r="HL89" s="1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32"/>
      <c r="IN89" s="32"/>
    </row>
    <row r="90" spans="2:248" s="24" customFormat="1" ht="54.6" customHeight="1" x14ac:dyDescent="0.25">
      <c r="B90" s="144"/>
      <c r="C90" s="144"/>
      <c r="D90" s="144"/>
      <c r="E90" s="144"/>
      <c r="F90" s="144"/>
      <c r="G90" s="144"/>
      <c r="H90" s="154"/>
      <c r="I90" s="144"/>
      <c r="J90" s="144"/>
      <c r="K90" s="144"/>
      <c r="L90" s="154"/>
      <c r="M90" s="144"/>
      <c r="N90" s="144"/>
      <c r="O90" s="155">
        <f>Table3[[#This Row],[UNIT PRICE]]*Table3[[#This Row],[QTY]]</f>
        <v>0</v>
      </c>
      <c r="P90" s="144"/>
      <c r="Q90" s="144"/>
      <c r="R90" s="156"/>
      <c r="S90" s="144"/>
      <c r="T90" s="157"/>
      <c r="U90" s="158"/>
      <c r="V90" s="144"/>
      <c r="W90" s="144"/>
      <c r="X90" s="144"/>
      <c r="Y90" s="144"/>
      <c r="Z90" s="159"/>
      <c r="AA90" s="159"/>
      <c r="AB90" s="159"/>
      <c r="AC90" s="144"/>
      <c r="AD90" s="144"/>
      <c r="AE90" s="144"/>
      <c r="AF90" s="144"/>
      <c r="AG90" s="144"/>
      <c r="AH90" s="144"/>
      <c r="AI90" s="144"/>
      <c r="AJ90" s="144"/>
      <c r="AK90" s="144"/>
      <c r="AL90" s="144"/>
      <c r="GW90" s="25"/>
      <c r="HD90" s="26"/>
      <c r="HE90" s="25"/>
      <c r="HF90" s="1"/>
      <c r="HG90" s="1"/>
      <c r="HH90" s="1"/>
      <c r="HI90" s="1"/>
      <c r="HJ90" s="1"/>
      <c r="HK90" s="1"/>
      <c r="HL90" s="1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32"/>
      <c r="IN90" s="32"/>
    </row>
    <row r="91" spans="2:248" s="24" customFormat="1" ht="54.6" customHeight="1" x14ac:dyDescent="0.25">
      <c r="B91" s="144"/>
      <c r="C91" s="144"/>
      <c r="D91" s="144"/>
      <c r="E91" s="144"/>
      <c r="F91" s="144"/>
      <c r="G91" s="144"/>
      <c r="H91" s="154"/>
      <c r="I91" s="144"/>
      <c r="J91" s="144"/>
      <c r="K91" s="144"/>
      <c r="L91" s="154"/>
      <c r="M91" s="144"/>
      <c r="N91" s="144"/>
      <c r="O91" s="155">
        <f>Table3[[#This Row],[UNIT PRICE]]*Table3[[#This Row],[QTY]]</f>
        <v>0</v>
      </c>
      <c r="P91" s="144"/>
      <c r="Q91" s="144"/>
      <c r="R91" s="156"/>
      <c r="S91" s="144"/>
      <c r="T91" s="157"/>
      <c r="U91" s="158"/>
      <c r="V91" s="144"/>
      <c r="W91" s="144"/>
      <c r="X91" s="144"/>
      <c r="Y91" s="144"/>
      <c r="Z91" s="159"/>
      <c r="AA91" s="159"/>
      <c r="AB91" s="159"/>
      <c r="AC91" s="144"/>
      <c r="AD91" s="144"/>
      <c r="AE91" s="144"/>
      <c r="AF91" s="144"/>
      <c r="AG91" s="144"/>
      <c r="AH91" s="144"/>
      <c r="AI91" s="144"/>
      <c r="AJ91" s="144"/>
      <c r="AK91" s="144"/>
      <c r="AL91" s="144"/>
      <c r="GW91" s="25"/>
      <c r="HD91" s="26"/>
      <c r="HE91" s="25"/>
      <c r="HF91" s="1"/>
      <c r="HG91" s="1"/>
      <c r="HH91" s="1"/>
      <c r="HI91" s="1"/>
      <c r="HJ91" s="1"/>
      <c r="HK91" s="1"/>
      <c r="HL91" s="1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32"/>
      <c r="IN91" s="32"/>
    </row>
    <row r="92" spans="2:248" s="24" customFormat="1" ht="54.6" customHeight="1" x14ac:dyDescent="0.25">
      <c r="B92" s="144"/>
      <c r="C92" s="144"/>
      <c r="D92" s="144"/>
      <c r="E92" s="144"/>
      <c r="F92" s="144"/>
      <c r="G92" s="144"/>
      <c r="H92" s="154"/>
      <c r="I92" s="144"/>
      <c r="J92" s="144"/>
      <c r="K92" s="144"/>
      <c r="L92" s="154"/>
      <c r="M92" s="144"/>
      <c r="N92" s="144"/>
      <c r="O92" s="155">
        <f>Table3[[#This Row],[UNIT PRICE]]*Table3[[#This Row],[QTY]]</f>
        <v>0</v>
      </c>
      <c r="P92" s="144"/>
      <c r="Q92" s="144"/>
      <c r="R92" s="156"/>
      <c r="S92" s="144"/>
      <c r="T92" s="157"/>
      <c r="U92" s="158"/>
      <c r="V92" s="144"/>
      <c r="W92" s="144"/>
      <c r="X92" s="144"/>
      <c r="Y92" s="144"/>
      <c r="Z92" s="159"/>
      <c r="AA92" s="159"/>
      <c r="AB92" s="159"/>
      <c r="AC92" s="144"/>
      <c r="AD92" s="144"/>
      <c r="AE92" s="144"/>
      <c r="AF92" s="144"/>
      <c r="AG92" s="144"/>
      <c r="AH92" s="144"/>
      <c r="AI92" s="144"/>
      <c r="AJ92" s="144"/>
      <c r="AK92" s="144"/>
      <c r="AL92" s="144"/>
      <c r="GW92" s="25"/>
      <c r="HD92" s="26"/>
      <c r="HE92" s="25"/>
      <c r="HF92" s="1"/>
      <c r="HG92" s="1"/>
      <c r="HH92" s="1"/>
      <c r="HI92" s="1"/>
      <c r="HJ92" s="1"/>
      <c r="HK92" s="1"/>
      <c r="HL92" s="1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32"/>
      <c r="IN92" s="32"/>
    </row>
    <row r="93" spans="2:248" s="24" customFormat="1" ht="54.6" customHeight="1" x14ac:dyDescent="0.25">
      <c r="B93" s="144"/>
      <c r="C93" s="144"/>
      <c r="D93" s="144"/>
      <c r="E93" s="144"/>
      <c r="F93" s="144"/>
      <c r="G93" s="144"/>
      <c r="H93" s="154"/>
      <c r="I93" s="144"/>
      <c r="J93" s="144"/>
      <c r="K93" s="144"/>
      <c r="L93" s="154"/>
      <c r="M93" s="144"/>
      <c r="N93" s="144"/>
      <c r="O93" s="155">
        <f>Table3[[#This Row],[UNIT PRICE]]*Table3[[#This Row],[QTY]]</f>
        <v>0</v>
      </c>
      <c r="P93" s="144"/>
      <c r="Q93" s="144"/>
      <c r="R93" s="156"/>
      <c r="S93" s="144"/>
      <c r="T93" s="157"/>
      <c r="U93" s="158"/>
      <c r="V93" s="144"/>
      <c r="W93" s="144"/>
      <c r="X93" s="144"/>
      <c r="Y93" s="144"/>
      <c r="Z93" s="159"/>
      <c r="AA93" s="159"/>
      <c r="AB93" s="159"/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GW93" s="25"/>
      <c r="HD93" s="26"/>
      <c r="HE93" s="25"/>
      <c r="HF93" s="1"/>
      <c r="HG93" s="1"/>
      <c r="HH93" s="1"/>
      <c r="HI93" s="1"/>
      <c r="HJ93" s="1"/>
      <c r="HK93" s="1"/>
      <c r="HL93" s="1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32"/>
      <c r="IN93" s="32"/>
    </row>
    <row r="94" spans="2:248" s="24" customFormat="1" ht="54.6" customHeight="1" x14ac:dyDescent="0.25">
      <c r="B94" s="144"/>
      <c r="C94" s="144"/>
      <c r="D94" s="144"/>
      <c r="E94" s="144"/>
      <c r="F94" s="144"/>
      <c r="G94" s="144"/>
      <c r="H94" s="154"/>
      <c r="I94" s="144"/>
      <c r="J94" s="144"/>
      <c r="K94" s="144"/>
      <c r="L94" s="154"/>
      <c r="M94" s="144"/>
      <c r="N94" s="144"/>
      <c r="O94" s="155">
        <f>Table3[[#This Row],[UNIT PRICE]]*Table3[[#This Row],[QTY]]</f>
        <v>0</v>
      </c>
      <c r="P94" s="144"/>
      <c r="Q94" s="144"/>
      <c r="R94" s="156"/>
      <c r="S94" s="144"/>
      <c r="T94" s="157"/>
      <c r="U94" s="158"/>
      <c r="V94" s="144"/>
      <c r="W94" s="144"/>
      <c r="X94" s="144"/>
      <c r="Y94" s="144"/>
      <c r="Z94" s="159"/>
      <c r="AA94" s="159"/>
      <c r="AB94" s="159"/>
      <c r="AC94" s="144"/>
      <c r="AD94" s="144"/>
      <c r="AE94" s="144"/>
      <c r="AF94" s="144"/>
      <c r="AG94" s="144"/>
      <c r="AH94" s="144"/>
      <c r="AI94" s="144"/>
      <c r="AJ94" s="144"/>
      <c r="AK94" s="144"/>
      <c r="AL94" s="144"/>
      <c r="GW94" s="25"/>
      <c r="HD94" s="26"/>
      <c r="HE94" s="25"/>
      <c r="HF94" s="1"/>
      <c r="HG94" s="1"/>
      <c r="HH94" s="1"/>
      <c r="HI94" s="1"/>
      <c r="HJ94" s="1"/>
      <c r="HK94" s="1"/>
      <c r="HL94" s="1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32"/>
      <c r="IN94" s="32"/>
    </row>
    <row r="95" spans="2:248" s="24" customFormat="1" ht="54.6" customHeight="1" x14ac:dyDescent="0.25">
      <c r="B95" s="144"/>
      <c r="C95" s="144"/>
      <c r="D95" s="144"/>
      <c r="E95" s="144"/>
      <c r="F95" s="144"/>
      <c r="G95" s="144"/>
      <c r="H95" s="154"/>
      <c r="I95" s="144"/>
      <c r="J95" s="144"/>
      <c r="K95" s="144"/>
      <c r="L95" s="154"/>
      <c r="M95" s="144"/>
      <c r="N95" s="144"/>
      <c r="O95" s="155">
        <f>Table3[[#This Row],[UNIT PRICE]]*Table3[[#This Row],[QTY]]</f>
        <v>0</v>
      </c>
      <c r="P95" s="144"/>
      <c r="Q95" s="144"/>
      <c r="R95" s="156"/>
      <c r="S95" s="144"/>
      <c r="T95" s="157"/>
      <c r="U95" s="158"/>
      <c r="V95" s="144"/>
      <c r="W95" s="144"/>
      <c r="X95" s="144"/>
      <c r="Y95" s="144"/>
      <c r="Z95" s="159"/>
      <c r="AA95" s="159"/>
      <c r="AB95" s="159"/>
      <c r="AC95" s="144"/>
      <c r="AD95" s="144"/>
      <c r="AE95" s="144"/>
      <c r="AF95" s="144"/>
      <c r="AG95" s="144"/>
      <c r="AH95" s="144"/>
      <c r="AI95" s="144"/>
      <c r="AJ95" s="144"/>
      <c r="AK95" s="144"/>
      <c r="AL95" s="144"/>
      <c r="GW95" s="25"/>
      <c r="HD95" s="26"/>
      <c r="HE95" s="25"/>
      <c r="HF95" s="1"/>
      <c r="HG95" s="1"/>
      <c r="HH95" s="1"/>
      <c r="HI95" s="1"/>
      <c r="HJ95" s="1"/>
      <c r="HK95" s="1"/>
      <c r="HL95" s="1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32"/>
      <c r="IN95" s="32"/>
    </row>
    <row r="96" spans="2:248" s="24" customFormat="1" ht="54.6" customHeight="1" x14ac:dyDescent="0.25">
      <c r="B96" s="144"/>
      <c r="C96" s="144"/>
      <c r="D96" s="144"/>
      <c r="E96" s="144"/>
      <c r="F96" s="144"/>
      <c r="G96" s="144"/>
      <c r="H96" s="154"/>
      <c r="I96" s="144"/>
      <c r="J96" s="144"/>
      <c r="K96" s="144"/>
      <c r="L96" s="154"/>
      <c r="M96" s="144"/>
      <c r="N96" s="144"/>
      <c r="O96" s="155">
        <f>Table3[[#This Row],[UNIT PRICE]]*Table3[[#This Row],[QTY]]</f>
        <v>0</v>
      </c>
      <c r="P96" s="144"/>
      <c r="Q96" s="144"/>
      <c r="R96" s="156"/>
      <c r="S96" s="144"/>
      <c r="T96" s="157"/>
      <c r="U96" s="158"/>
      <c r="V96" s="144"/>
      <c r="W96" s="144"/>
      <c r="X96" s="144"/>
      <c r="Y96" s="144"/>
      <c r="Z96" s="159"/>
      <c r="AA96" s="159"/>
      <c r="AB96" s="159"/>
      <c r="AC96" s="144"/>
      <c r="AD96" s="144"/>
      <c r="AE96" s="144"/>
      <c r="AF96" s="144"/>
      <c r="AG96" s="144"/>
      <c r="AH96" s="144"/>
      <c r="AI96" s="144"/>
      <c r="AJ96" s="144"/>
      <c r="AK96" s="144"/>
      <c r="AL96" s="144"/>
      <c r="GW96" s="25"/>
      <c r="HD96" s="26"/>
      <c r="HE96" s="25"/>
      <c r="HF96" s="1"/>
      <c r="HG96" s="1"/>
      <c r="HH96" s="1"/>
      <c r="HI96" s="1"/>
      <c r="HJ96" s="1"/>
      <c r="HK96" s="1"/>
      <c r="HL96" s="1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32"/>
      <c r="IN96" s="32"/>
    </row>
    <row r="97" spans="2:251" s="24" customFormat="1" ht="54.6" customHeight="1" x14ac:dyDescent="0.25">
      <c r="B97" s="144"/>
      <c r="C97" s="144"/>
      <c r="D97" s="144"/>
      <c r="E97" s="144"/>
      <c r="F97" s="144"/>
      <c r="G97" s="144"/>
      <c r="H97" s="154"/>
      <c r="I97" s="144"/>
      <c r="J97" s="144"/>
      <c r="K97" s="144"/>
      <c r="L97" s="154"/>
      <c r="M97" s="144"/>
      <c r="N97" s="144"/>
      <c r="O97" s="155">
        <f>Table3[[#This Row],[UNIT PRICE]]*Table3[[#This Row],[QTY]]</f>
        <v>0</v>
      </c>
      <c r="P97" s="144"/>
      <c r="Q97" s="144"/>
      <c r="R97" s="156"/>
      <c r="S97" s="144"/>
      <c r="T97" s="157"/>
      <c r="U97" s="158"/>
      <c r="V97" s="144"/>
      <c r="W97" s="144"/>
      <c r="X97" s="144"/>
      <c r="Y97" s="144"/>
      <c r="Z97" s="159"/>
      <c r="AA97" s="159"/>
      <c r="AB97" s="159"/>
      <c r="AC97" s="144"/>
      <c r="AD97" s="144"/>
      <c r="AE97" s="144"/>
      <c r="AF97" s="144"/>
      <c r="AG97" s="144"/>
      <c r="AH97" s="144"/>
      <c r="AI97" s="144"/>
      <c r="AJ97" s="144"/>
      <c r="AK97" s="144"/>
      <c r="AL97" s="144"/>
      <c r="GW97" s="25"/>
      <c r="HD97" s="26"/>
      <c r="HE97" s="25"/>
      <c r="HF97" s="1"/>
      <c r="HG97" s="1"/>
      <c r="HH97" s="1"/>
      <c r="HI97" s="1"/>
      <c r="HJ97" s="1"/>
      <c r="HK97" s="1"/>
      <c r="HL97" s="1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32"/>
      <c r="IN97" s="32"/>
    </row>
    <row r="98" spans="2:251" s="24" customFormat="1" ht="54.6" customHeight="1" x14ac:dyDescent="0.25">
      <c r="B98" s="144"/>
      <c r="C98" s="144"/>
      <c r="D98" s="144"/>
      <c r="E98" s="144"/>
      <c r="F98" s="144"/>
      <c r="G98" s="144"/>
      <c r="H98" s="154"/>
      <c r="I98" s="144"/>
      <c r="J98" s="144"/>
      <c r="K98" s="144"/>
      <c r="L98" s="154"/>
      <c r="M98" s="144"/>
      <c r="N98" s="144"/>
      <c r="O98" s="155">
        <f>Table3[[#This Row],[UNIT PRICE]]*Table3[[#This Row],[QTY]]</f>
        <v>0</v>
      </c>
      <c r="P98" s="144"/>
      <c r="Q98" s="144"/>
      <c r="R98" s="156"/>
      <c r="S98" s="144"/>
      <c r="T98" s="157"/>
      <c r="U98" s="158"/>
      <c r="V98" s="144"/>
      <c r="W98" s="144"/>
      <c r="X98" s="144"/>
      <c r="Y98" s="144"/>
      <c r="Z98" s="159"/>
      <c r="AA98" s="159"/>
      <c r="AB98" s="159"/>
      <c r="AC98" s="144"/>
      <c r="AD98" s="144"/>
      <c r="AE98" s="144"/>
      <c r="AF98" s="144"/>
      <c r="AG98" s="144"/>
      <c r="AH98" s="144"/>
      <c r="AI98" s="144"/>
      <c r="AJ98" s="144"/>
      <c r="AK98" s="144"/>
      <c r="AL98" s="144"/>
      <c r="GW98" s="25"/>
      <c r="HD98" s="26"/>
      <c r="HE98" s="25"/>
      <c r="HF98" s="1"/>
      <c r="HG98" s="1"/>
      <c r="HH98" s="1"/>
      <c r="HI98" s="1"/>
      <c r="HJ98" s="1"/>
      <c r="HK98" s="1"/>
      <c r="HL98" s="1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32"/>
      <c r="IN98" s="32"/>
    </row>
    <row r="99" spans="2:251" s="24" customFormat="1" ht="54.6" customHeight="1" x14ac:dyDescent="0.25">
      <c r="B99" s="144"/>
      <c r="C99" s="144"/>
      <c r="D99" s="144"/>
      <c r="E99" s="144"/>
      <c r="F99" s="144"/>
      <c r="G99" s="144"/>
      <c r="H99" s="154"/>
      <c r="I99" s="144"/>
      <c r="J99" s="144"/>
      <c r="K99" s="144"/>
      <c r="L99" s="154"/>
      <c r="M99" s="144"/>
      <c r="N99" s="144"/>
      <c r="O99" s="155">
        <f>Table3[[#This Row],[UNIT PRICE]]*Table3[[#This Row],[QTY]]</f>
        <v>0</v>
      </c>
      <c r="P99" s="144"/>
      <c r="Q99" s="144"/>
      <c r="R99" s="156"/>
      <c r="S99" s="144"/>
      <c r="T99" s="157"/>
      <c r="U99" s="158"/>
      <c r="V99" s="144"/>
      <c r="W99" s="144"/>
      <c r="X99" s="144"/>
      <c r="Y99" s="144"/>
      <c r="Z99" s="159"/>
      <c r="AA99" s="159"/>
      <c r="AB99" s="159"/>
      <c r="AC99" s="144"/>
      <c r="AD99" s="144"/>
      <c r="AE99" s="144"/>
      <c r="AF99" s="144"/>
      <c r="AG99" s="144"/>
      <c r="AH99" s="144"/>
      <c r="AI99" s="144"/>
      <c r="AJ99" s="144"/>
      <c r="AK99" s="144"/>
      <c r="AL99" s="144"/>
      <c r="GW99" s="25"/>
      <c r="HD99" s="26"/>
      <c r="HE99" s="25"/>
      <c r="HF99" s="1"/>
      <c r="HG99" s="1"/>
      <c r="HH99" s="1"/>
      <c r="HI99" s="1"/>
      <c r="HJ99" s="1"/>
      <c r="HK99" s="1"/>
      <c r="HL99" s="1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32"/>
      <c r="IN99" s="32"/>
    </row>
    <row r="100" spans="2:251" ht="21.95" customHeight="1" x14ac:dyDescent="0.25">
      <c r="M100" s="37" t="s">
        <v>96</v>
      </c>
      <c r="N100" s="38" t="s">
        <v>102</v>
      </c>
      <c r="O100" s="39">
        <f>SUM(O11:O99)</f>
        <v>1753500</v>
      </c>
      <c r="HD100" s="5"/>
      <c r="HX100" s="5"/>
      <c r="HY100" s="5"/>
      <c r="HZ100" s="5"/>
      <c r="IA100" s="5"/>
      <c r="IB100" s="5"/>
      <c r="IC100" s="26"/>
      <c r="ID100" s="26"/>
      <c r="IE100" s="5"/>
      <c r="IF100" s="5"/>
      <c r="IG100" s="5"/>
      <c r="IH100" s="5"/>
      <c r="II100" s="5"/>
      <c r="IJ100" s="5"/>
      <c r="IK100" s="5"/>
      <c r="IL100" s="5"/>
      <c r="IM100" s="31"/>
      <c r="IN100" s="31"/>
    </row>
    <row r="101" spans="2:251" ht="21.95" customHeight="1" x14ac:dyDescent="0.25">
      <c r="F101" s="3"/>
      <c r="G101" s="3"/>
      <c r="H101" s="3"/>
      <c r="I101" s="3"/>
      <c r="J101" s="3"/>
      <c r="K101" s="3"/>
      <c r="L101" s="3"/>
      <c r="M101" s="40" t="s">
        <v>97</v>
      </c>
      <c r="N101" s="160"/>
      <c r="O101" s="39">
        <f>O100*N101</f>
        <v>0</v>
      </c>
      <c r="HD101" s="5"/>
      <c r="HX101" s="5"/>
      <c r="HY101" s="5"/>
      <c r="HZ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31"/>
      <c r="IN101" s="31"/>
    </row>
    <row r="102" spans="2:251" ht="21.95" customHeight="1" x14ac:dyDescent="0.25">
      <c r="G102" s="3"/>
      <c r="H102" s="3"/>
      <c r="I102" s="3"/>
      <c r="J102" s="3"/>
      <c r="K102" s="3"/>
      <c r="L102" s="3"/>
      <c r="M102" s="40" t="s">
        <v>98</v>
      </c>
      <c r="N102" s="160">
        <v>0.02</v>
      </c>
      <c r="O102" s="39">
        <f>O100*N102</f>
        <v>35070</v>
      </c>
      <c r="HD102" s="5"/>
      <c r="IC102" s="5"/>
      <c r="ID102" s="5"/>
      <c r="IE102" s="5"/>
      <c r="IF102" s="5"/>
      <c r="IG102" s="5"/>
      <c r="IH102" s="5"/>
      <c r="II102" s="5"/>
      <c r="IJ102" s="5"/>
      <c r="IK102" s="5">
        <v>33</v>
      </c>
      <c r="IL102" s="5"/>
      <c r="IM102" s="31"/>
      <c r="IN102" s="31"/>
      <c r="IO102" s="31"/>
      <c r="IP102" s="5"/>
      <c r="IQ102" s="5"/>
    </row>
    <row r="103" spans="2:251" ht="21.95" customHeight="1" x14ac:dyDescent="0.25">
      <c r="F103" s="3"/>
      <c r="G103" s="3"/>
      <c r="H103" s="3"/>
      <c r="I103" s="3"/>
      <c r="J103" s="3"/>
      <c r="K103" s="3"/>
      <c r="L103" s="3"/>
      <c r="M103" s="40" t="s">
        <v>103</v>
      </c>
      <c r="N103" s="41"/>
      <c r="O103" s="39">
        <f>SUM(O101:O102,O100)</f>
        <v>1788570</v>
      </c>
      <c r="HD103" s="5"/>
      <c r="IC103" s="5"/>
      <c r="ID103" s="5"/>
      <c r="IE103" s="5"/>
      <c r="IF103" s="5"/>
      <c r="IG103" s="5"/>
      <c r="IH103" s="5"/>
      <c r="II103" s="5"/>
      <c r="IJ103" s="5"/>
      <c r="IK103" s="5">
        <v>34</v>
      </c>
      <c r="IL103" s="5"/>
      <c r="IM103" s="31"/>
      <c r="IN103" s="31"/>
      <c r="IO103" s="31"/>
      <c r="IP103" s="5"/>
      <c r="IQ103" s="5"/>
    </row>
    <row r="104" spans="2:251" ht="21.95" customHeight="1" x14ac:dyDescent="0.25">
      <c r="M104" s="37" t="s">
        <v>99</v>
      </c>
      <c r="N104" s="160">
        <v>0.18</v>
      </c>
      <c r="O104" s="39">
        <f>O103*N104</f>
        <v>321942.59999999998</v>
      </c>
      <c r="HD104" s="5"/>
      <c r="IC104" s="5"/>
      <c r="ID104" s="5"/>
      <c r="IE104" s="5"/>
      <c r="IF104" s="5"/>
      <c r="IG104" s="5"/>
      <c r="IH104" s="5"/>
      <c r="II104" s="5"/>
      <c r="IJ104" s="5"/>
      <c r="IK104" s="5">
        <v>35</v>
      </c>
      <c r="IL104" s="5"/>
      <c r="IM104" s="31"/>
      <c r="IN104" s="31"/>
      <c r="IO104" s="31"/>
      <c r="IP104" s="5"/>
      <c r="IQ104" s="5"/>
    </row>
    <row r="105" spans="2:251" ht="21.95" customHeight="1" x14ac:dyDescent="0.25">
      <c r="G105" s="3"/>
      <c r="H105" s="3"/>
      <c r="I105" s="3"/>
      <c r="J105" s="3"/>
      <c r="K105" s="3"/>
      <c r="L105" s="3"/>
      <c r="M105" s="40" t="s">
        <v>101</v>
      </c>
      <c r="N105" s="38"/>
      <c r="O105" s="39">
        <f>O103+O104</f>
        <v>2110512.6</v>
      </c>
      <c r="HD105" s="5"/>
      <c r="IC105" s="5"/>
      <c r="ID105" s="5"/>
      <c r="IE105" s="5"/>
      <c r="IF105" s="5"/>
      <c r="IG105" s="5"/>
      <c r="IH105" s="5"/>
      <c r="II105" s="5"/>
      <c r="IJ105" s="5"/>
      <c r="IK105" s="5">
        <v>36</v>
      </c>
      <c r="IL105" s="5"/>
      <c r="IM105" s="31"/>
      <c r="IN105" s="31"/>
      <c r="IO105" s="31"/>
      <c r="IP105" s="5"/>
      <c r="IQ105" s="5"/>
    </row>
    <row r="106" spans="2:251" ht="15" customHeight="1" x14ac:dyDescent="0.25">
      <c r="HD106" s="5"/>
      <c r="IC106" s="5"/>
      <c r="ID106" s="5"/>
      <c r="IE106" s="5"/>
      <c r="IF106" s="5"/>
      <c r="IG106" s="5"/>
      <c r="IH106" s="5"/>
      <c r="II106" s="5"/>
      <c r="IJ106" s="5"/>
      <c r="IK106" s="5">
        <v>37</v>
      </c>
      <c r="IL106" s="5"/>
      <c r="IM106" s="31"/>
      <c r="IN106" s="31"/>
      <c r="IO106" s="31"/>
      <c r="IP106" s="5"/>
      <c r="IQ106" s="5"/>
    </row>
    <row r="107" spans="2:251" ht="15" hidden="1" customHeight="1" x14ac:dyDescent="0.25">
      <c r="N107" s="28"/>
      <c r="O107" s="1"/>
      <c r="HD107" s="5"/>
      <c r="IC107" s="5"/>
      <c r="ID107" s="5"/>
      <c r="IE107" s="5"/>
      <c r="IF107" s="5"/>
      <c r="IG107" s="5"/>
      <c r="IH107" s="5"/>
      <c r="II107" s="5"/>
      <c r="IJ107" s="5"/>
      <c r="IK107" s="5">
        <v>38</v>
      </c>
      <c r="IL107" s="5"/>
      <c r="IM107" s="31"/>
      <c r="IN107" s="31"/>
      <c r="IO107" s="31"/>
      <c r="IP107" s="5"/>
      <c r="IQ107" s="5"/>
    </row>
    <row r="108" spans="2:251" ht="20.100000000000001" hidden="1" customHeight="1" x14ac:dyDescent="0.25">
      <c r="N108" s="164"/>
      <c r="O108" s="164"/>
      <c r="HD108" s="5"/>
      <c r="IC108" s="5"/>
      <c r="ID108" s="5"/>
      <c r="IE108" s="5"/>
      <c r="IF108" s="5"/>
      <c r="IG108" s="5"/>
      <c r="IH108" s="5"/>
      <c r="II108" s="5"/>
      <c r="IJ108" s="5"/>
      <c r="IK108" s="5">
        <v>39</v>
      </c>
      <c r="IL108" s="5"/>
      <c r="IM108" s="31"/>
      <c r="IN108" s="31"/>
      <c r="IO108" s="31"/>
      <c r="IP108" s="5"/>
      <c r="IQ108" s="5"/>
    </row>
    <row r="109" spans="2:251" ht="20.100000000000001" hidden="1" customHeight="1" x14ac:dyDescent="0.25">
      <c r="N109" s="164"/>
      <c r="O109" s="164"/>
      <c r="HD109" s="5"/>
      <c r="IC109" s="5"/>
      <c r="ID109" s="5"/>
      <c r="IE109" s="5"/>
      <c r="IF109" s="5"/>
      <c r="IG109" s="5"/>
      <c r="IH109" s="5"/>
      <c r="II109" s="5"/>
      <c r="IJ109" s="5"/>
      <c r="IK109" s="5">
        <v>40</v>
      </c>
      <c r="IL109" s="5"/>
      <c r="IM109" s="31"/>
      <c r="IN109" s="31"/>
      <c r="IO109" s="31"/>
      <c r="IP109" s="5"/>
      <c r="IQ109" s="5"/>
    </row>
    <row r="110" spans="2:251" ht="20.100000000000001" hidden="1" customHeight="1" x14ac:dyDescent="0.25">
      <c r="N110" s="28"/>
      <c r="O110" s="1"/>
      <c r="HD110" s="5"/>
      <c r="IC110" s="5"/>
      <c r="ID110" s="5"/>
      <c r="IE110" s="5"/>
      <c r="IF110" s="5"/>
      <c r="IG110" s="5"/>
      <c r="IH110" s="5"/>
      <c r="II110" s="5"/>
      <c r="IJ110" s="5"/>
      <c r="IK110" s="5">
        <v>41</v>
      </c>
      <c r="IL110" s="5"/>
      <c r="IM110" s="31"/>
      <c r="IN110" s="31"/>
      <c r="IO110" s="31"/>
      <c r="IP110" s="5"/>
      <c r="IQ110" s="5"/>
    </row>
    <row r="111" spans="2:251" ht="20.100000000000001" hidden="1" customHeight="1" x14ac:dyDescent="0.25">
      <c r="N111" s="164"/>
      <c r="O111" s="164"/>
      <c r="HD111" s="5"/>
      <c r="IC111" s="5"/>
      <c r="ID111" s="5"/>
      <c r="IE111" s="5"/>
      <c r="IF111" s="5"/>
      <c r="IG111" s="5"/>
      <c r="IH111" s="5"/>
      <c r="II111" s="5"/>
      <c r="IJ111" s="5"/>
      <c r="IK111" s="5">
        <v>42</v>
      </c>
      <c r="IL111" s="5"/>
      <c r="IM111" s="31"/>
      <c r="IN111" s="31"/>
      <c r="IO111" s="31"/>
      <c r="IP111" s="5"/>
      <c r="IQ111" s="5"/>
    </row>
    <row r="112" spans="2:251" ht="20.100000000000001" hidden="1" customHeight="1" x14ac:dyDescent="0.25">
      <c r="HD112" s="5"/>
      <c r="IC112" s="5"/>
      <c r="ID112" s="5"/>
      <c r="IE112" s="5"/>
      <c r="IF112" s="5"/>
      <c r="IG112" s="5"/>
      <c r="IH112" s="5"/>
      <c r="II112" s="5"/>
      <c r="IJ112" s="5"/>
      <c r="IK112" s="5">
        <v>43</v>
      </c>
      <c r="IL112" s="5"/>
      <c r="IM112" s="31"/>
      <c r="IN112" s="31"/>
      <c r="IO112" s="31"/>
      <c r="IP112" s="5"/>
      <c r="IQ112" s="5"/>
    </row>
    <row r="113" spans="212:251" ht="20.100000000000001" hidden="1" customHeight="1" x14ac:dyDescent="0.25">
      <c r="HD113" s="5"/>
      <c r="IC113" s="5"/>
      <c r="ID113" s="5"/>
      <c r="IE113" s="5"/>
      <c r="IF113" s="5"/>
      <c r="IG113" s="5"/>
      <c r="IH113" s="5"/>
      <c r="II113" s="5"/>
      <c r="IJ113" s="5"/>
      <c r="IK113" s="5">
        <v>44</v>
      </c>
      <c r="IL113" s="5"/>
      <c r="IM113" s="31"/>
      <c r="IN113" s="31"/>
      <c r="IO113" s="31"/>
      <c r="IP113" s="5"/>
      <c r="IQ113" s="5"/>
    </row>
    <row r="114" spans="212:251" ht="20.100000000000001" hidden="1" customHeight="1" x14ac:dyDescent="0.25">
      <c r="HD114" s="5"/>
      <c r="IC114" s="5"/>
      <c r="ID114" s="5"/>
      <c r="IE114" s="5"/>
      <c r="IF114" s="5"/>
      <c r="IG114" s="5"/>
      <c r="IH114" s="5"/>
      <c r="II114" s="5"/>
      <c r="IJ114" s="5"/>
      <c r="IK114" s="5">
        <v>45</v>
      </c>
      <c r="IL114" s="5"/>
      <c r="IM114" s="31"/>
      <c r="IN114" s="31"/>
      <c r="IO114" s="31"/>
      <c r="IP114" s="5"/>
      <c r="IQ114" s="5"/>
    </row>
    <row r="115" spans="212:251" ht="20.100000000000001" hidden="1" customHeight="1" x14ac:dyDescent="0.25">
      <c r="HD115" s="5"/>
      <c r="IC115" s="5"/>
      <c r="ID115" s="5"/>
      <c r="IE115" s="5"/>
      <c r="IF115" s="5"/>
      <c r="IG115" s="5"/>
      <c r="IH115" s="5"/>
      <c r="II115" s="5"/>
      <c r="IJ115" s="5"/>
      <c r="IK115" s="5">
        <v>46</v>
      </c>
      <c r="IL115" s="5"/>
      <c r="IM115" s="31"/>
      <c r="IN115" s="31"/>
      <c r="IO115" s="31"/>
      <c r="IP115" s="5"/>
      <c r="IQ115" s="5"/>
    </row>
    <row r="116" spans="212:251" ht="20.100000000000001" hidden="1" customHeight="1" x14ac:dyDescent="0.25">
      <c r="HD116" s="5"/>
      <c r="IC116" s="5"/>
      <c r="ID116" s="5"/>
      <c r="IE116" s="5"/>
      <c r="IF116" s="5"/>
      <c r="IG116" s="5"/>
      <c r="IH116" s="5"/>
      <c r="II116" s="5"/>
      <c r="IJ116" s="5"/>
      <c r="IK116" s="5">
        <v>47</v>
      </c>
      <c r="IL116" s="5"/>
      <c r="IM116" s="31"/>
      <c r="IN116" s="31"/>
      <c r="IO116" s="31"/>
      <c r="IP116" s="5"/>
      <c r="IQ116" s="5"/>
    </row>
    <row r="117" spans="212:251" ht="20.100000000000001" hidden="1" customHeight="1" x14ac:dyDescent="0.25">
      <c r="HD117" s="5"/>
      <c r="IC117" s="5"/>
      <c r="ID117" s="5"/>
      <c r="IE117" s="5"/>
      <c r="IF117" s="5"/>
      <c r="IG117" s="5"/>
      <c r="IH117" s="5"/>
      <c r="II117" s="5"/>
      <c r="IJ117" s="5"/>
      <c r="IK117" s="5">
        <v>48</v>
      </c>
      <c r="IL117" s="5"/>
      <c r="IM117" s="31"/>
      <c r="IN117" s="31"/>
      <c r="IO117" s="31"/>
      <c r="IP117" s="5"/>
      <c r="IQ117" s="5"/>
    </row>
    <row r="118" spans="212:251" ht="20.100000000000001" hidden="1" customHeight="1" x14ac:dyDescent="0.25">
      <c r="HD118" s="5"/>
      <c r="IC118" s="5"/>
      <c r="ID118" s="5"/>
      <c r="IE118" s="5"/>
      <c r="IF118" s="5"/>
      <c r="IG118" s="5"/>
      <c r="IH118" s="5"/>
      <c r="II118" s="5"/>
      <c r="IJ118" s="5"/>
      <c r="IK118" s="5">
        <v>49</v>
      </c>
      <c r="IL118" s="5"/>
      <c r="IM118" s="31"/>
      <c r="IN118" s="31"/>
      <c r="IO118" s="31"/>
      <c r="IP118" s="5"/>
      <c r="IQ118" s="5"/>
    </row>
    <row r="119" spans="212:251" ht="20.100000000000001" hidden="1" customHeight="1" x14ac:dyDescent="0.25">
      <c r="HD119" s="5"/>
      <c r="IC119" s="5"/>
      <c r="ID119" s="5"/>
      <c r="IE119" s="5"/>
      <c r="IF119" s="5"/>
      <c r="IG119" s="5"/>
      <c r="IH119" s="5"/>
      <c r="II119" s="5"/>
      <c r="IJ119" s="5"/>
      <c r="IK119" s="5">
        <v>50</v>
      </c>
      <c r="IL119" s="5"/>
      <c r="IM119" s="31"/>
      <c r="IN119" s="31"/>
      <c r="IO119" s="31"/>
      <c r="IP119" s="5"/>
      <c r="IQ119" s="5"/>
    </row>
    <row r="120" spans="212:251" ht="20.100000000000001" hidden="1" customHeight="1" x14ac:dyDescent="0.25">
      <c r="IC120" s="5"/>
      <c r="ID120" s="5"/>
    </row>
    <row r="121" spans="212:251" ht="20.100000000000001" hidden="1" customHeight="1" x14ac:dyDescent="0.25"/>
  </sheetData>
  <sheetProtection algorithmName="SHA-512" hashValue="lB7eAyFZKOIpcphDf8mmYUjMYGHW+KaaTDN+7SL3yn8YBOPTctC/FHVoHMZFabu+8Mo2G0hHxG7WroUu7lSA2A==" saltValue="SQeRFUgs3ZVdqBjBIpg4uw==" spinCount="100000" sheet="1" objects="1" scenarios="1" sort="0" autoFilter="0"/>
  <mergeCells count="43">
    <mergeCell ref="AJ1:AL1"/>
    <mergeCell ref="AJ2:AL2"/>
    <mergeCell ref="AJ3:AL3"/>
    <mergeCell ref="AJ4:AL4"/>
    <mergeCell ref="AJ5:AL5"/>
    <mergeCell ref="AC1:AG1"/>
    <mergeCell ref="E5:F5"/>
    <mergeCell ref="E6:F6"/>
    <mergeCell ref="E7:F7"/>
    <mergeCell ref="E8:F8"/>
    <mergeCell ref="M5:O5"/>
    <mergeCell ref="M6:O6"/>
    <mergeCell ref="M7:O7"/>
    <mergeCell ref="G5:K5"/>
    <mergeCell ref="G6:K6"/>
    <mergeCell ref="G7:K7"/>
    <mergeCell ref="W7:AA7"/>
    <mergeCell ref="W4:AA4"/>
    <mergeCell ref="W5:AA5"/>
    <mergeCell ref="W6:AA6"/>
    <mergeCell ref="W1:AA1"/>
    <mergeCell ref="Q8:R8"/>
    <mergeCell ref="W2:AA2"/>
    <mergeCell ref="W3:AA3"/>
    <mergeCell ref="S4:T4"/>
    <mergeCell ref="S5:T5"/>
    <mergeCell ref="S6:T6"/>
    <mergeCell ref="AG9:AL9"/>
    <mergeCell ref="N108:O108"/>
    <mergeCell ref="N109:O109"/>
    <mergeCell ref="N111:O111"/>
    <mergeCell ref="E1:E2"/>
    <mergeCell ref="Q1:T1"/>
    <mergeCell ref="Q2:R2"/>
    <mergeCell ref="S2:T2"/>
    <mergeCell ref="Q3:R3"/>
    <mergeCell ref="S3:T3"/>
    <mergeCell ref="S7:T7"/>
    <mergeCell ref="S8:T8"/>
    <mergeCell ref="Q4:R4"/>
    <mergeCell ref="Q5:R5"/>
    <mergeCell ref="Q6:R6"/>
    <mergeCell ref="Q7:R7"/>
  </mergeCells>
  <phoneticPr fontId="6" type="noConversion"/>
  <conditionalFormatting sqref="Z11:AA11">
    <cfRule type="containsText" dxfId="971" priority="259" operator="containsText" text="Smooth">
      <formula>NOT(ISERROR(SEARCH("Smooth",Z11)))</formula>
    </cfRule>
  </conditionalFormatting>
  <conditionalFormatting sqref="R11">
    <cfRule type="cellIs" dxfId="970" priority="247" operator="equal">
      <formula>#REF!</formula>
    </cfRule>
  </conditionalFormatting>
  <conditionalFormatting sqref="Z11:AA11">
    <cfRule type="cellIs" dxfId="969" priority="277" operator="equal">
      <formula>#REF!</formula>
    </cfRule>
    <cfRule type="cellIs" dxfId="968" priority="288" operator="equal">
      <formula>#REF!</formula>
    </cfRule>
  </conditionalFormatting>
  <conditionalFormatting sqref="E11 Z11:AA11">
    <cfRule type="cellIs" dxfId="967" priority="287" operator="equal">
      <formula>#REF!</formula>
    </cfRule>
  </conditionalFormatting>
  <conditionalFormatting sqref="F11:L11">
    <cfRule type="cellIs" dxfId="966" priority="286" operator="equal">
      <formula>#REF!</formula>
    </cfRule>
  </conditionalFormatting>
  <conditionalFormatting sqref="R11">
    <cfRule type="cellIs" dxfId="965" priority="285" operator="equal">
      <formula>#REF!</formula>
    </cfRule>
  </conditionalFormatting>
  <conditionalFormatting sqref="Z11:AA11">
    <cfRule type="cellIs" dxfId="964" priority="276" operator="equal">
      <formula>#REF!</formula>
    </cfRule>
  </conditionalFormatting>
  <conditionalFormatting sqref="W11:Y11">
    <cfRule type="cellIs" dxfId="963" priority="289" operator="equal">
      <formula>#REF!</formula>
    </cfRule>
    <cfRule type="cellIs" dxfId="962" priority="290" operator="equal">
      <formula>#REF!</formula>
    </cfRule>
    <cfRule type="cellIs" dxfId="961" priority="291" operator="equal">
      <formula>#REF!</formula>
    </cfRule>
    <cfRule type="cellIs" dxfId="960" priority="292" operator="equal">
      <formula>#REF!</formula>
    </cfRule>
    <cfRule type="cellIs" dxfId="959" priority="293" operator="equal">
      <formula>#REF!</formula>
    </cfRule>
    <cfRule type="cellIs" dxfId="958" priority="294" operator="equal">
      <formula>#REF!</formula>
    </cfRule>
  </conditionalFormatting>
  <conditionalFormatting sqref="AB11">
    <cfRule type="cellIs" dxfId="957" priority="275" operator="equal">
      <formula>#REF!</formula>
    </cfRule>
  </conditionalFormatting>
  <conditionalFormatting sqref="AB11">
    <cfRule type="cellIs" dxfId="956" priority="273" operator="equal">
      <formula>#REF!</formula>
    </cfRule>
  </conditionalFormatting>
  <conditionalFormatting sqref="AC11">
    <cfRule type="cellIs" dxfId="955" priority="295" operator="equal">
      <formula>#REF!</formula>
    </cfRule>
  </conditionalFormatting>
  <conditionalFormatting sqref="AG11">
    <cfRule type="cellIs" dxfId="954" priority="262" operator="equal">
      <formula>#REF!</formula>
    </cfRule>
  </conditionalFormatting>
  <conditionalFormatting sqref="AD11">
    <cfRule type="cellIs" dxfId="953" priority="261" operator="equal">
      <formula>#REF!</formula>
    </cfRule>
  </conditionalFormatting>
  <conditionalFormatting sqref="AJ11">
    <cfRule type="cellIs" dxfId="952" priority="260" operator="equal">
      <formula>#REF!</formula>
    </cfRule>
  </conditionalFormatting>
  <conditionalFormatting sqref="E11">
    <cfRule type="cellIs" dxfId="951" priority="297" operator="equal">
      <formula>#REF!</formula>
    </cfRule>
  </conditionalFormatting>
  <conditionalFormatting sqref="L2">
    <cfRule type="cellIs" dxfId="950" priority="222" operator="equal">
      <formula>#REF!</formula>
    </cfRule>
    <cfRule type="cellIs" dxfId="949" priority="223" operator="equal">
      <formula>#REF!</formula>
    </cfRule>
    <cfRule type="cellIs" dxfId="948" priority="224" operator="equal">
      <formula>#REF!</formula>
    </cfRule>
    <cfRule type="cellIs" dxfId="947" priority="225" operator="equal">
      <formula>#REF!</formula>
    </cfRule>
  </conditionalFormatting>
  <conditionalFormatting sqref="F11:L11">
    <cfRule type="cellIs" dxfId="946" priority="300" operator="equal">
      <formula>#REF!</formula>
    </cfRule>
  </conditionalFormatting>
  <conditionalFormatting sqref="F11:L11">
    <cfRule type="cellIs" dxfId="945" priority="301" operator="equal">
      <formula>#REF!</formula>
    </cfRule>
  </conditionalFormatting>
  <conditionalFormatting sqref="E11">
    <cfRule type="cellIs" dxfId="944" priority="302" operator="equal">
      <formula>#REF!</formula>
    </cfRule>
  </conditionalFormatting>
  <conditionalFormatting sqref="R11">
    <cfRule type="cellIs" dxfId="943" priority="314" operator="equal">
      <formula>$HX$4</formula>
    </cfRule>
    <cfRule type="cellIs" dxfId="942" priority="315" operator="equal">
      <formula>400</formula>
    </cfRule>
  </conditionalFormatting>
  <conditionalFormatting sqref="AC11">
    <cfRule type="cellIs" dxfId="941" priority="317" operator="equal">
      <formula>$IE$11</formula>
    </cfRule>
  </conditionalFormatting>
  <conditionalFormatting sqref="AD11">
    <cfRule type="cellIs" dxfId="940" priority="318" operator="equal">
      <formula>$IJ$5</formula>
    </cfRule>
  </conditionalFormatting>
  <conditionalFormatting sqref="AG11">
    <cfRule type="cellIs" dxfId="939" priority="319" operator="equal">
      <formula>$IM$8</formula>
    </cfRule>
  </conditionalFormatting>
  <conditionalFormatting sqref="AJ11">
    <cfRule type="cellIs" dxfId="938" priority="320" operator="equal">
      <formula>$IK$4</formula>
    </cfRule>
  </conditionalFormatting>
  <conditionalFormatting sqref="L2">
    <cfRule type="cellIs" dxfId="937" priority="324" operator="equal">
      <formula>$II$3</formula>
    </cfRule>
    <cfRule type="cellIs" dxfId="936" priority="325" operator="equal">
      <formula>$II$4</formula>
    </cfRule>
  </conditionalFormatting>
  <conditionalFormatting sqref="Z11:AA11">
    <cfRule type="containsText" dxfId="935" priority="344" operator="containsText" text="smooth">
      <formula>NOT(ISERROR(SEARCH("smooth",Z11)))</formula>
    </cfRule>
    <cfRule type="cellIs" dxfId="934" priority="345" operator="equal">
      <formula>$IA$5</formula>
    </cfRule>
  </conditionalFormatting>
  <conditionalFormatting sqref="Z13:AA99">
    <cfRule type="containsText" dxfId="933" priority="24" operator="containsText" text="Smooth">
      <formula>NOT(ISERROR(SEARCH("Smooth",Z13)))</formula>
    </cfRule>
  </conditionalFormatting>
  <conditionalFormatting sqref="R12:R99">
    <cfRule type="cellIs" dxfId="932" priority="23" operator="equal">
      <formula>#REF!</formula>
    </cfRule>
  </conditionalFormatting>
  <conditionalFormatting sqref="Z13:AA99">
    <cfRule type="cellIs" dxfId="931" priority="31" operator="equal">
      <formula>#REF!</formula>
    </cfRule>
    <cfRule type="cellIs" dxfId="930" priority="35" operator="equal">
      <formula>#REF!</formula>
    </cfRule>
  </conditionalFormatting>
  <conditionalFormatting sqref="Z13:AA99">
    <cfRule type="cellIs" dxfId="929" priority="34" operator="equal">
      <formula>#REF!</formula>
    </cfRule>
  </conditionalFormatting>
  <conditionalFormatting sqref="H12:H99 K12:L99">
    <cfRule type="cellIs" dxfId="928" priority="33" operator="equal">
      <formula>#REF!</formula>
    </cfRule>
  </conditionalFormatting>
  <conditionalFormatting sqref="R12:R99">
    <cfRule type="cellIs" dxfId="927" priority="32" operator="equal">
      <formula>#REF!</formula>
    </cfRule>
  </conditionalFormatting>
  <conditionalFormatting sqref="Z13:AA99">
    <cfRule type="cellIs" dxfId="926" priority="30" operator="equal">
      <formula>#REF!</formula>
    </cfRule>
  </conditionalFormatting>
  <conditionalFormatting sqref="W12:Y99">
    <cfRule type="cellIs" dxfId="925" priority="36" operator="equal">
      <formula>#REF!</formula>
    </cfRule>
    <cfRule type="cellIs" dxfId="924" priority="37" operator="equal">
      <formula>#REF!</formula>
    </cfRule>
    <cfRule type="cellIs" dxfId="923" priority="38" operator="equal">
      <formula>#REF!</formula>
    </cfRule>
    <cfRule type="cellIs" dxfId="922" priority="39" operator="equal">
      <formula>#REF!</formula>
    </cfRule>
    <cfRule type="cellIs" dxfId="921" priority="40" operator="equal">
      <formula>#REF!</formula>
    </cfRule>
    <cfRule type="cellIs" dxfId="920" priority="41" operator="equal">
      <formula>#REF!</formula>
    </cfRule>
  </conditionalFormatting>
  <conditionalFormatting sqref="AB13:AB99">
    <cfRule type="cellIs" dxfId="919" priority="29" operator="equal">
      <formula>#REF!</formula>
    </cfRule>
  </conditionalFormatting>
  <conditionalFormatting sqref="AB13:AB99">
    <cfRule type="cellIs" dxfId="918" priority="28" operator="equal">
      <formula>#REF!</formula>
    </cfRule>
  </conditionalFormatting>
  <conditionalFormatting sqref="AC13:AC99">
    <cfRule type="cellIs" dxfId="917" priority="42" operator="equal">
      <formula>#REF!</formula>
    </cfRule>
  </conditionalFormatting>
  <conditionalFormatting sqref="AG12:AG99">
    <cfRule type="cellIs" dxfId="916" priority="27" operator="equal">
      <formula>#REF!</formula>
    </cfRule>
  </conditionalFormatting>
  <conditionalFormatting sqref="AD13:AD99">
    <cfRule type="cellIs" dxfId="915" priority="26" operator="equal">
      <formula>#REF!</formula>
    </cfRule>
  </conditionalFormatting>
  <conditionalFormatting sqref="AJ12:AJ99">
    <cfRule type="cellIs" dxfId="914" priority="25" operator="equal">
      <formula>#REF!</formula>
    </cfRule>
  </conditionalFormatting>
  <conditionalFormatting sqref="H12:H99 K12:L99">
    <cfRule type="cellIs" dxfId="913" priority="44" operator="equal">
      <formula>#REF!</formula>
    </cfRule>
  </conditionalFormatting>
  <conditionalFormatting sqref="H12:H99 K12:L99">
    <cfRule type="cellIs" dxfId="912" priority="45" operator="equal">
      <formula>#REF!</formula>
    </cfRule>
  </conditionalFormatting>
  <conditionalFormatting sqref="R12:R99">
    <cfRule type="cellIs" dxfId="911" priority="47" operator="equal">
      <formula>$HX$4</formula>
    </cfRule>
    <cfRule type="cellIs" dxfId="910" priority="48" operator="equal">
      <formula>400</formula>
    </cfRule>
  </conditionalFormatting>
  <conditionalFormatting sqref="AC13:AC99">
    <cfRule type="cellIs" dxfId="909" priority="49" operator="equal">
      <formula>$IE$11</formula>
    </cfRule>
  </conditionalFormatting>
  <conditionalFormatting sqref="AD13:AD99">
    <cfRule type="cellIs" dxfId="908" priority="50" operator="equal">
      <formula>$IJ$5</formula>
    </cfRule>
  </conditionalFormatting>
  <conditionalFormatting sqref="AG12:AG99">
    <cfRule type="cellIs" dxfId="907" priority="51" operator="equal">
      <formula>$IM$8</formula>
    </cfRule>
  </conditionalFormatting>
  <conditionalFormatting sqref="AJ12:AJ99">
    <cfRule type="cellIs" dxfId="906" priority="52" operator="equal">
      <formula>$IK$4</formula>
    </cfRule>
  </conditionalFormatting>
  <conditionalFormatting sqref="Z13:AA99">
    <cfRule type="containsText" dxfId="905" priority="53" operator="containsText" text="smooth">
      <formula>NOT(ISERROR(SEARCH("smooth",Z13)))</formula>
    </cfRule>
    <cfRule type="cellIs" dxfId="904" priority="54" operator="equal">
      <formula>$IA$5</formula>
    </cfRule>
  </conditionalFormatting>
  <conditionalFormatting sqref="E12:E99">
    <cfRule type="cellIs" dxfId="903" priority="20" operator="equal">
      <formula>#REF!</formula>
    </cfRule>
  </conditionalFormatting>
  <conditionalFormatting sqref="E12:E99">
    <cfRule type="cellIs" dxfId="902" priority="21" operator="equal">
      <formula>#REF!</formula>
    </cfRule>
  </conditionalFormatting>
  <conditionalFormatting sqref="E12:E99">
    <cfRule type="cellIs" dxfId="901" priority="22" operator="equal">
      <formula>#REF!</formula>
    </cfRule>
  </conditionalFormatting>
  <conditionalFormatting sqref="F12:G99">
    <cfRule type="cellIs" dxfId="900" priority="17" operator="equal">
      <formula>#REF!</formula>
    </cfRule>
  </conditionalFormatting>
  <conditionalFormatting sqref="F12:G99">
    <cfRule type="cellIs" dxfId="899" priority="18" operator="equal">
      <formula>#REF!</formula>
    </cfRule>
  </conditionalFormatting>
  <conditionalFormatting sqref="F12:G99">
    <cfRule type="cellIs" dxfId="898" priority="19" operator="equal">
      <formula>#REF!</formula>
    </cfRule>
  </conditionalFormatting>
  <conditionalFormatting sqref="I12:J99">
    <cfRule type="cellIs" dxfId="897" priority="14" operator="equal">
      <formula>#REF!</formula>
    </cfRule>
  </conditionalFormatting>
  <conditionalFormatting sqref="I12:J99">
    <cfRule type="cellIs" dxfId="896" priority="15" operator="equal">
      <formula>#REF!</formula>
    </cfRule>
  </conditionalFormatting>
  <conditionalFormatting sqref="I12:J99">
    <cfRule type="cellIs" dxfId="895" priority="16" operator="equal">
      <formula>#REF!</formula>
    </cfRule>
  </conditionalFormatting>
  <conditionalFormatting sqref="Z12:AA12">
    <cfRule type="containsText" dxfId="894" priority="1" operator="containsText" text="Smooth">
      <formula>NOT(ISERROR(SEARCH("Smooth",Z12)))</formula>
    </cfRule>
  </conditionalFormatting>
  <conditionalFormatting sqref="Z12:AA12">
    <cfRule type="cellIs" dxfId="893" priority="6" operator="equal">
      <formula>#REF!</formula>
    </cfRule>
    <cfRule type="cellIs" dxfId="892" priority="8" operator="equal">
      <formula>#REF!</formula>
    </cfRule>
  </conditionalFormatting>
  <conditionalFormatting sqref="Z12:AA12">
    <cfRule type="cellIs" dxfId="891" priority="7" operator="equal">
      <formula>#REF!</formula>
    </cfRule>
  </conditionalFormatting>
  <conditionalFormatting sqref="Z12:AA12">
    <cfRule type="cellIs" dxfId="890" priority="5" operator="equal">
      <formula>#REF!</formula>
    </cfRule>
  </conditionalFormatting>
  <conditionalFormatting sqref="AB12">
    <cfRule type="cellIs" dxfId="889" priority="4" operator="equal">
      <formula>#REF!</formula>
    </cfRule>
  </conditionalFormatting>
  <conditionalFormatting sqref="AB12">
    <cfRule type="cellIs" dxfId="888" priority="3" operator="equal">
      <formula>#REF!</formula>
    </cfRule>
  </conditionalFormatting>
  <conditionalFormatting sqref="AC12">
    <cfRule type="cellIs" dxfId="887" priority="9" operator="equal">
      <formula>#REF!</formula>
    </cfRule>
  </conditionalFormatting>
  <conditionalFormatting sqref="AD12">
    <cfRule type="cellIs" dxfId="886" priority="2" operator="equal">
      <formula>#REF!</formula>
    </cfRule>
  </conditionalFormatting>
  <conditionalFormatting sqref="AC12">
    <cfRule type="cellIs" dxfId="885" priority="10" operator="equal">
      <formula>$IE$11</formula>
    </cfRule>
  </conditionalFormatting>
  <conditionalFormatting sqref="AD12">
    <cfRule type="cellIs" dxfId="884" priority="11" operator="equal">
      <formula>$IJ$5</formula>
    </cfRule>
  </conditionalFormatting>
  <conditionalFormatting sqref="Z12:AA12">
    <cfRule type="containsText" dxfId="883" priority="12" operator="containsText" text="smooth">
      <formula>NOT(ISERROR(SEARCH("smooth",Z12)))</formula>
    </cfRule>
    <cfRule type="cellIs" dxfId="882" priority="13" operator="equal">
      <formula>$IA$5</formula>
    </cfRule>
  </conditionalFormatting>
  <dataValidations count="22">
    <dataValidation type="list" allowBlank="1" showInputMessage="1" showErrorMessage="1" sqref="K2:L2" xr:uid="{7D9C26FC-A1EF-4298-B742-8DECC35FC513}">
      <formula1>$II$2:$II$5</formula1>
    </dataValidation>
    <dataValidation type="list" allowBlank="1" showInputMessage="1" showErrorMessage="1" sqref="AD11:AD99" xr:uid="{C28E0B9F-63E1-4CC6-84CA-21D367D07B75}">
      <formula1>$IJ$2:$IJ$5</formula1>
    </dataValidation>
    <dataValidation type="list" allowBlank="1" showInputMessage="1" showErrorMessage="1" sqref="H11:H99" xr:uid="{2E0E7061-9F5F-471C-A5C9-1399A71DCD6F}">
      <formula1>IF(G11="IQ2",m_1,IF(G11="IQ3",m_2,IF(G11="IQT3",m_3,IF(G11="IQT",m_4,IF(G11="K",m_5,IF(G11="Q",m_6,IF(G11="CKQ",m_7,IF(G11="OTHERS",m_8,EL))))))))</formula1>
    </dataValidation>
    <dataValidation type="list" allowBlank="1" showInputMessage="1" showErrorMessage="1" sqref="O2" xr:uid="{F0B6E530-44AF-4B4E-8090-26B68A5FED0E}">
      <formula1>$IK$2:$IK$119</formula1>
    </dataValidation>
    <dataValidation type="list" showInputMessage="1" showErrorMessage="1" sqref="Z11:Z99" xr:uid="{0CA2FC99-05CA-4986-A883-EDA9B7229C81}">
      <formula1>P_S</formula1>
    </dataValidation>
    <dataValidation type="list" showInputMessage="1" showErrorMessage="1" sqref="AF11:AF99" xr:uid="{0A3E2981-40AA-4ACB-97F9-32599D4C6C82}">
      <formula1>$IQ$3:$IQ$4</formula1>
    </dataValidation>
    <dataValidation type="list" allowBlank="1" showInputMessage="1" showErrorMessage="1" sqref="G2:J2 M2" xr:uid="{E35D4F2A-7305-4464-A7BD-0935E3AD94C9}">
      <formula1>$IG$3:$IG$4</formula1>
    </dataValidation>
    <dataValidation type="list" showInputMessage="1" showErrorMessage="1" sqref="F2" xr:uid="{92F11334-BD8F-40DC-B52D-B1A27B7F4E9E}">
      <formula1>$IG$3:$IG$4</formula1>
    </dataValidation>
    <dataValidation type="list" showInputMessage="1" showErrorMessage="1" sqref="R11:R99" xr:uid="{42E85F7A-EE1C-43F8-9E95-4D509E09E8B9}">
      <formula1>$HX$3:$HX$13</formula1>
    </dataValidation>
    <dataValidation type="list" showInputMessage="1" showErrorMessage="1" sqref="V11:V99" xr:uid="{1DD4012C-65EA-4F72-B255-CE9B5191C16F}">
      <formula1>INDIRECT(G11)</formula1>
    </dataValidation>
    <dataValidation type="list" showInputMessage="1" showErrorMessage="1" sqref="AA11:AA99" xr:uid="{8F087FF3-303F-405D-BBC8-78510C11CBA1}">
      <formula1>$IC$3:$IC$20</formula1>
    </dataValidation>
    <dataValidation type="list" showInputMessage="1" showErrorMessage="1" sqref="AG11:AG99" xr:uid="{0035014B-A64C-459F-8E31-BE2CCA0CDBFF}">
      <formula1>IF(AF11="Yes",gb_1,EL)</formula1>
    </dataValidation>
    <dataValidation type="list" showInputMessage="1" showErrorMessage="1" sqref="AC11:AC99" xr:uid="{EF03B994-1E3F-4AF0-9E73-F5229026D6D3}">
      <formula1>$IE$3:$IE$12</formula1>
    </dataValidation>
    <dataValidation type="list" showInputMessage="1" showErrorMessage="1" sqref="AJ11:AJ99" xr:uid="{325B3008-E103-46F7-A5BD-70BBE57219C3}">
      <formula1>$IK$3:$IK$5</formula1>
    </dataValidation>
    <dataValidation type="list" showInputMessage="1" showErrorMessage="1" sqref="I11:I99" xr:uid="{CA4B11F9-7379-4E06-A1B6-071040E4AD16}">
      <formula1>INDIRECT(G11)</formula1>
    </dataValidation>
    <dataValidation type="list" showInputMessage="1" showErrorMessage="1" sqref="J11:J99" xr:uid="{D01E2D0C-E246-45D9-82ED-D04251FBAE2E}">
      <formula1>INDIRECT(G11)</formula1>
    </dataValidation>
    <dataValidation type="list" showInputMessage="1" showErrorMessage="1" sqref="Q11:Q99" xr:uid="{0F080F58-4E6F-49A4-9444-7A98B12F043C}">
      <formula1>INDIRECT(G11)</formula1>
    </dataValidation>
    <dataValidation type="list" showInputMessage="1" showErrorMessage="1" sqref="E12:E99 E11" xr:uid="{53EF1906-4024-4BDB-BF9A-2807002B97C8}">
      <formula1>$GW$4:$GW$8</formula1>
    </dataValidation>
    <dataValidation type="list" showInputMessage="1" showErrorMessage="1" sqref="F11:F99" xr:uid="{71C213F8-D7E0-4B31-87B6-3CE99AFB5BF5}">
      <formula1>INDIRECT($E$11)</formula1>
    </dataValidation>
    <dataValidation type="list" showInputMessage="1" showErrorMessage="1" sqref="G11:G99" xr:uid="{50A32BA6-C737-4D6B-B128-65612962917B}">
      <formula1>INDIRECT($F$11)</formula1>
    </dataValidation>
    <dataValidation type="list" showInputMessage="1" showErrorMessage="1" sqref="X11:X99" xr:uid="{64FD5B5A-BE57-4527-871A-33035FD015A2}">
      <formula1>INDIRECT(G11)</formula1>
    </dataValidation>
    <dataValidation type="date" operator="greaterThanOrEqual" showInputMessage="1" showErrorMessage="1" sqref="N2" xr:uid="{F14EE521-60DD-4CF0-A217-73A32589D405}">
      <formula1>TODAY()</formula1>
    </dataValidation>
  </dataValidations>
  <pageMargins left="0.7" right="0.7" top="0.75" bottom="0.75" header="0.3" footer="0.3"/>
  <pageSetup paperSize="9" orientation="portrait" horizontalDpi="300" r:id="rId1"/>
  <drawing r:id="rId2"/>
  <legacyDrawing r:id="rId3"/>
  <tableParts count="33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81479-D9AB-4B31-8C79-DE6F9E582EB5}">
  <sheetPr codeName="Sheet4">
    <tabColor theme="5" tint="0.39997558519241921"/>
  </sheetPr>
  <dimension ref="A1:XDY51"/>
  <sheetViews>
    <sheetView topLeftCell="DL32" zoomScaleNormal="100" workbookViewId="0">
      <selection activeCell="DO37" sqref="DO37"/>
    </sheetView>
  </sheetViews>
  <sheetFormatPr defaultColWidth="9.140625" defaultRowHeight="15" x14ac:dyDescent="0.25"/>
  <cols>
    <col min="1" max="32" width="18.42578125" style="46" bestFit="1" customWidth="1"/>
    <col min="33" max="35" width="12.5703125" style="46" bestFit="1" customWidth="1"/>
    <col min="36" max="37" width="12.85546875" style="46" bestFit="1" customWidth="1"/>
    <col min="38" max="40" width="13.5703125" style="46" bestFit="1" customWidth="1"/>
    <col min="41" max="42" width="14.5703125" style="46" bestFit="1" customWidth="1"/>
    <col min="43" max="43" width="12.5703125" style="46" bestFit="1" customWidth="1"/>
    <col min="44" max="46" width="13" style="46" bestFit="1" customWidth="1"/>
    <col min="47" max="48" width="13.5703125" style="46" bestFit="1" customWidth="1"/>
    <col min="49" max="51" width="12.5703125" style="46" bestFit="1" customWidth="1"/>
    <col min="52" max="53" width="13.5703125" style="46" bestFit="1" customWidth="1"/>
    <col min="54" max="55" width="13.140625" style="46" bestFit="1" customWidth="1"/>
    <col min="56" max="56" width="14.140625" style="46" bestFit="1" customWidth="1"/>
    <col min="57" max="58" width="12.5703125" style="46" bestFit="1" customWidth="1"/>
    <col min="59" max="62" width="12.85546875" style="46" bestFit="1" customWidth="1"/>
    <col min="63" max="103" width="12.5703125" style="46" bestFit="1" customWidth="1"/>
    <col min="104" max="107" width="13.42578125" style="46" bestFit="1" customWidth="1"/>
    <col min="108" max="119" width="12.5703125" style="46" bestFit="1" customWidth="1"/>
    <col min="120" max="120" width="18.42578125" style="46" bestFit="1" customWidth="1"/>
    <col min="121" max="123" width="12.5703125" style="46" bestFit="1" customWidth="1"/>
    <col min="124" max="124" width="18.42578125" style="46" bestFit="1" customWidth="1"/>
    <col min="125" max="131" width="12.5703125" style="46" bestFit="1" customWidth="1"/>
    <col min="132" max="132" width="13.42578125" style="46" bestFit="1" customWidth="1"/>
    <col min="133" max="139" width="12.5703125" style="46" bestFit="1" customWidth="1"/>
    <col min="140" max="140" width="14.42578125" style="46" bestFit="1" customWidth="1"/>
    <col min="141" max="141" width="14.5703125" style="46" bestFit="1" customWidth="1"/>
    <col min="142" max="146" width="14.42578125" style="46" bestFit="1" customWidth="1"/>
    <col min="147" max="170" width="18.42578125" style="46" bestFit="1" customWidth="1"/>
    <col min="171" max="16384" width="9.140625" style="46"/>
  </cols>
  <sheetData>
    <row r="1" spans="1:170 16353:16353" s="44" customFormat="1" x14ac:dyDescent="0.25">
      <c r="A1" s="49" t="s">
        <v>240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</row>
    <row r="2" spans="1:170 16353:16353" s="44" customFormat="1" ht="15" customHeight="1" x14ac:dyDescent="0.25">
      <c r="A2" s="43" t="s">
        <v>208</v>
      </c>
      <c r="B2" s="43" t="s">
        <v>209</v>
      </c>
      <c r="C2" s="43" t="s">
        <v>210</v>
      </c>
      <c r="D2" s="43" t="s">
        <v>211</v>
      </c>
      <c r="E2" s="43" t="s">
        <v>212</v>
      </c>
      <c r="F2" s="43" t="s">
        <v>213</v>
      </c>
      <c r="G2" s="43" t="s">
        <v>214</v>
      </c>
      <c r="H2" s="43" t="s">
        <v>215</v>
      </c>
      <c r="I2" s="56" t="s">
        <v>216</v>
      </c>
      <c r="J2" s="43" t="s">
        <v>217</v>
      </c>
      <c r="K2" s="43" t="s">
        <v>218</v>
      </c>
      <c r="L2" s="43" t="s">
        <v>264</v>
      </c>
      <c r="M2" s="66" t="s">
        <v>393</v>
      </c>
      <c r="N2" s="66" t="s">
        <v>265</v>
      </c>
      <c r="O2" s="66" t="s">
        <v>266</v>
      </c>
      <c r="P2" s="66" t="s">
        <v>267</v>
      </c>
      <c r="Q2" s="66" t="s">
        <v>268</v>
      </c>
      <c r="R2" s="66" t="s">
        <v>269</v>
      </c>
      <c r="S2" s="66" t="s">
        <v>270</v>
      </c>
      <c r="T2" s="66" t="s">
        <v>271</v>
      </c>
      <c r="U2" s="66" t="s">
        <v>272</v>
      </c>
      <c r="V2" s="66" t="s">
        <v>273</v>
      </c>
      <c r="W2" s="66" t="s">
        <v>274</v>
      </c>
      <c r="X2" s="66" t="s">
        <v>275</v>
      </c>
      <c r="Y2" s="66" t="s">
        <v>276</v>
      </c>
      <c r="Z2" s="66" t="s">
        <v>277</v>
      </c>
      <c r="AA2" s="66" t="s">
        <v>278</v>
      </c>
      <c r="AB2" s="66" t="s">
        <v>279</v>
      </c>
      <c r="AC2" s="66" t="s">
        <v>280</v>
      </c>
      <c r="AD2" s="66" t="s">
        <v>281</v>
      </c>
      <c r="AE2" s="66" t="s">
        <v>282</v>
      </c>
      <c r="AF2" s="66" t="s">
        <v>283</v>
      </c>
      <c r="AG2" s="57" t="s">
        <v>219</v>
      </c>
      <c r="AH2" s="57" t="s">
        <v>220</v>
      </c>
      <c r="AI2" s="57" t="s">
        <v>221</v>
      </c>
      <c r="AJ2" s="57" t="s">
        <v>222</v>
      </c>
      <c r="AK2" s="57" t="s">
        <v>223</v>
      </c>
      <c r="AL2" s="57" t="s">
        <v>224</v>
      </c>
      <c r="AM2" s="57" t="s">
        <v>225</v>
      </c>
      <c r="AN2" s="57" t="s">
        <v>226</v>
      </c>
      <c r="AO2" s="57" t="s">
        <v>227</v>
      </c>
      <c r="AP2" s="57" t="s">
        <v>284</v>
      </c>
      <c r="AQ2" s="57" t="s">
        <v>285</v>
      </c>
      <c r="AR2" s="57" t="s">
        <v>286</v>
      </c>
      <c r="AS2" s="57" t="s">
        <v>287</v>
      </c>
      <c r="AT2" s="57" t="s">
        <v>288</v>
      </c>
      <c r="AU2" s="57" t="s">
        <v>289</v>
      </c>
      <c r="AV2" s="57" t="s">
        <v>290</v>
      </c>
      <c r="AW2" s="57" t="s">
        <v>291</v>
      </c>
      <c r="AX2" s="57" t="s">
        <v>292</v>
      </c>
      <c r="AY2" s="57" t="s">
        <v>293</v>
      </c>
      <c r="AZ2" s="57" t="s">
        <v>294</v>
      </c>
      <c r="BA2" s="57" t="s">
        <v>295</v>
      </c>
      <c r="BB2" s="57" t="s">
        <v>296</v>
      </c>
      <c r="BC2" s="57" t="s">
        <v>297</v>
      </c>
      <c r="BD2" s="57" t="s">
        <v>298</v>
      </c>
      <c r="BE2" s="57" t="s">
        <v>299</v>
      </c>
      <c r="BF2" s="57" t="s">
        <v>300</v>
      </c>
      <c r="BG2" s="57" t="s">
        <v>301</v>
      </c>
      <c r="BH2" s="57" t="s">
        <v>302</v>
      </c>
      <c r="BI2" s="57" t="s">
        <v>303</v>
      </c>
      <c r="BJ2" s="57" t="s">
        <v>304</v>
      </c>
      <c r="BK2" s="57" t="s">
        <v>228</v>
      </c>
      <c r="BL2" s="57" t="s">
        <v>229</v>
      </c>
      <c r="BM2" s="57" t="s">
        <v>230</v>
      </c>
      <c r="BN2" s="57" t="s">
        <v>231</v>
      </c>
      <c r="BO2" s="57" t="s">
        <v>232</v>
      </c>
      <c r="BP2" s="57" t="s">
        <v>233</v>
      </c>
      <c r="BQ2" s="57" t="s">
        <v>235</v>
      </c>
      <c r="BR2" s="57" t="s">
        <v>234</v>
      </c>
      <c r="BS2" s="57" t="s">
        <v>236</v>
      </c>
      <c r="BT2" s="57" t="s">
        <v>237</v>
      </c>
      <c r="BU2" s="57" t="s">
        <v>239</v>
      </c>
      <c r="BV2" s="57" t="s">
        <v>238</v>
      </c>
      <c r="BW2" s="57" t="s">
        <v>250</v>
      </c>
      <c r="BX2" s="57" t="s">
        <v>251</v>
      </c>
      <c r="BY2" s="57" t="s">
        <v>252</v>
      </c>
      <c r="BZ2" s="57" t="s">
        <v>253</v>
      </c>
      <c r="CA2" s="57" t="s">
        <v>246</v>
      </c>
      <c r="CB2" s="57" t="s">
        <v>247</v>
      </c>
      <c r="CC2" s="57" t="s">
        <v>248</v>
      </c>
      <c r="CD2" s="57" t="s">
        <v>249</v>
      </c>
      <c r="CE2" s="73" t="s">
        <v>254</v>
      </c>
      <c r="CF2" s="73" t="s">
        <v>255</v>
      </c>
      <c r="CG2" s="73" t="s">
        <v>256</v>
      </c>
      <c r="CH2" s="73" t="s">
        <v>257</v>
      </c>
      <c r="CI2" s="43" t="s">
        <v>341</v>
      </c>
      <c r="CJ2" s="43" t="s">
        <v>342</v>
      </c>
      <c r="CK2" s="43" t="s">
        <v>343</v>
      </c>
      <c r="CL2" s="43" t="s">
        <v>344</v>
      </c>
      <c r="CM2" s="43" t="s">
        <v>345</v>
      </c>
      <c r="CN2" s="43" t="s">
        <v>346</v>
      </c>
      <c r="CO2" s="43" t="s">
        <v>347</v>
      </c>
      <c r="CP2" s="43" t="s">
        <v>348</v>
      </c>
      <c r="CQ2" s="43" t="s">
        <v>349</v>
      </c>
      <c r="CR2" s="43" t="s">
        <v>350</v>
      </c>
      <c r="CS2" s="43" t="s">
        <v>351</v>
      </c>
      <c r="CT2" s="43" t="s">
        <v>352</v>
      </c>
      <c r="CU2" s="57" t="s">
        <v>353</v>
      </c>
      <c r="CV2" s="57" t="s">
        <v>354</v>
      </c>
      <c r="CW2" s="57" t="s">
        <v>355</v>
      </c>
      <c r="CX2" s="57" t="s">
        <v>356</v>
      </c>
      <c r="CY2" s="57" t="s">
        <v>357</v>
      </c>
      <c r="CZ2" s="57" t="s">
        <v>358</v>
      </c>
      <c r="DA2" s="57" t="s">
        <v>359</v>
      </c>
      <c r="DB2" s="57" t="s">
        <v>360</v>
      </c>
      <c r="DC2" s="57" t="s">
        <v>361</v>
      </c>
      <c r="DD2" s="57" t="s">
        <v>362</v>
      </c>
      <c r="DE2" s="57" t="s">
        <v>363</v>
      </c>
      <c r="DF2" s="57" t="s">
        <v>364</v>
      </c>
      <c r="DG2" s="57" t="s">
        <v>365</v>
      </c>
      <c r="DH2" s="57" t="s">
        <v>366</v>
      </c>
      <c r="DI2" s="57" t="s">
        <v>367</v>
      </c>
      <c r="DJ2" s="57" t="s">
        <v>368</v>
      </c>
      <c r="DK2" s="57" t="s">
        <v>369</v>
      </c>
      <c r="DL2" s="57" t="s">
        <v>370</v>
      </c>
      <c r="DM2" s="57" t="s">
        <v>371</v>
      </c>
      <c r="DN2" s="57" t="s">
        <v>372</v>
      </c>
      <c r="DO2" s="57" t="s">
        <v>316</v>
      </c>
      <c r="DP2" s="57" t="s">
        <v>317</v>
      </c>
      <c r="DQ2" s="57" t="s">
        <v>318</v>
      </c>
      <c r="DR2" s="57" t="s">
        <v>319</v>
      </c>
      <c r="DS2" s="57" t="s">
        <v>320</v>
      </c>
      <c r="DT2" s="57" t="s">
        <v>321</v>
      </c>
      <c r="DU2" s="57" t="s">
        <v>322</v>
      </c>
      <c r="DV2" s="57" t="s">
        <v>323</v>
      </c>
      <c r="DW2" s="57" t="s">
        <v>324</v>
      </c>
      <c r="DX2" s="57" t="s">
        <v>325</v>
      </c>
      <c r="DY2" s="57" t="s">
        <v>305</v>
      </c>
      <c r="DZ2" s="57" t="s">
        <v>306</v>
      </c>
      <c r="EA2" s="57" t="s">
        <v>307</v>
      </c>
      <c r="EB2" s="57" t="s">
        <v>308</v>
      </c>
      <c r="EC2" s="57" t="s">
        <v>326</v>
      </c>
      <c r="ED2" s="57" t="s">
        <v>327</v>
      </c>
      <c r="EE2" s="57" t="s">
        <v>328</v>
      </c>
      <c r="EF2" s="57" t="s">
        <v>329</v>
      </c>
      <c r="EG2" s="57" t="s">
        <v>330</v>
      </c>
      <c r="EH2" s="57" t="s">
        <v>331</v>
      </c>
      <c r="EI2" s="57" t="s">
        <v>332</v>
      </c>
      <c r="EJ2" s="57" t="s">
        <v>333</v>
      </c>
      <c r="EK2" s="57" t="s">
        <v>334</v>
      </c>
      <c r="EL2" s="57" t="s">
        <v>335</v>
      </c>
      <c r="EM2" s="57" t="s">
        <v>336</v>
      </c>
      <c r="EN2" s="57" t="s">
        <v>337</v>
      </c>
      <c r="EO2" s="57" t="s">
        <v>338</v>
      </c>
      <c r="EP2" s="57" t="s">
        <v>339</v>
      </c>
      <c r="EQ2" s="75" t="s">
        <v>20</v>
      </c>
      <c r="ER2" s="75" t="s">
        <v>115</v>
      </c>
      <c r="ES2" s="75" t="s">
        <v>110</v>
      </c>
      <c r="ET2" s="75" t="s">
        <v>111</v>
      </c>
      <c r="EU2" s="100" t="s">
        <v>373</v>
      </c>
      <c r="EV2" s="100" t="s">
        <v>374</v>
      </c>
      <c r="EW2" s="101" t="s">
        <v>375</v>
      </c>
      <c r="EX2" s="101" t="s">
        <v>376</v>
      </c>
      <c r="EY2" s="100" t="s">
        <v>377</v>
      </c>
      <c r="EZ2" s="101" t="s">
        <v>378</v>
      </c>
      <c r="FA2" s="114" t="s">
        <v>379</v>
      </c>
      <c r="FB2" s="100" t="s">
        <v>380</v>
      </c>
      <c r="FC2" s="101" t="s">
        <v>381</v>
      </c>
      <c r="FD2" s="101" t="s">
        <v>382</v>
      </c>
      <c r="FE2" s="100" t="s">
        <v>383</v>
      </c>
      <c r="FF2" s="101" t="s">
        <v>384</v>
      </c>
      <c r="FG2" s="114" t="s">
        <v>385</v>
      </c>
      <c r="FH2" s="100" t="s">
        <v>386</v>
      </c>
      <c r="FI2" s="101" t="s">
        <v>387</v>
      </c>
      <c r="FJ2" s="101" t="s">
        <v>388</v>
      </c>
      <c r="FK2" s="100" t="s">
        <v>389</v>
      </c>
      <c r="FL2" s="57" t="s">
        <v>390</v>
      </c>
      <c r="FM2" s="100" t="s">
        <v>391</v>
      </c>
      <c r="FN2" s="101" t="s">
        <v>392</v>
      </c>
    </row>
    <row r="3" spans="1:170 16353:16353" x14ac:dyDescent="0.25">
      <c r="A3" s="54" t="s">
        <v>310</v>
      </c>
      <c r="B3" s="54" t="s">
        <v>310</v>
      </c>
      <c r="C3" s="54" t="s">
        <v>310</v>
      </c>
      <c r="D3" s="54" t="s">
        <v>310</v>
      </c>
      <c r="E3" s="54" t="s">
        <v>310</v>
      </c>
      <c r="F3" s="54" t="s">
        <v>310</v>
      </c>
      <c r="G3" s="54" t="s">
        <v>310</v>
      </c>
      <c r="H3" s="54" t="s">
        <v>310</v>
      </c>
      <c r="I3" s="54" t="s">
        <v>310</v>
      </c>
      <c r="J3" s="54" t="s">
        <v>310</v>
      </c>
      <c r="K3" s="54" t="s">
        <v>310</v>
      </c>
      <c r="L3" s="54" t="s">
        <v>310</v>
      </c>
      <c r="M3" s="63" t="s">
        <v>310</v>
      </c>
      <c r="N3" s="63" t="s">
        <v>310</v>
      </c>
      <c r="O3" s="68" t="s">
        <v>310</v>
      </c>
      <c r="P3" s="63" t="s">
        <v>310</v>
      </c>
      <c r="Q3" s="63" t="s">
        <v>310</v>
      </c>
      <c r="R3" s="63" t="s">
        <v>310</v>
      </c>
      <c r="S3" s="63" t="s">
        <v>310</v>
      </c>
      <c r="T3" s="63" t="s">
        <v>310</v>
      </c>
      <c r="U3" s="63" t="s">
        <v>310</v>
      </c>
      <c r="V3" s="63" t="s">
        <v>310</v>
      </c>
      <c r="W3" s="63" t="s">
        <v>310</v>
      </c>
      <c r="X3" s="63" t="s">
        <v>310</v>
      </c>
      <c r="Y3" s="63" t="s">
        <v>310</v>
      </c>
      <c r="Z3" s="63" t="s">
        <v>310</v>
      </c>
      <c r="AA3" s="63" t="s">
        <v>310</v>
      </c>
      <c r="AB3" s="63" t="s">
        <v>310</v>
      </c>
      <c r="AC3" s="63" t="s">
        <v>310</v>
      </c>
      <c r="AD3" s="63" t="s">
        <v>310</v>
      </c>
      <c r="AE3" s="63" t="s">
        <v>310</v>
      </c>
      <c r="AF3" s="63" t="s">
        <v>310</v>
      </c>
      <c r="AG3" s="71" t="s">
        <v>310</v>
      </c>
      <c r="AH3" s="71" t="s">
        <v>310</v>
      </c>
      <c r="AI3" s="71" t="s">
        <v>310</v>
      </c>
      <c r="AJ3" s="71" t="s">
        <v>310</v>
      </c>
      <c r="AK3" s="71" t="s">
        <v>310</v>
      </c>
      <c r="AL3" s="71" t="s">
        <v>310</v>
      </c>
      <c r="AM3" s="71" t="s">
        <v>310</v>
      </c>
      <c r="AN3" s="71" t="s">
        <v>310</v>
      </c>
      <c r="AO3" s="71" t="s">
        <v>310</v>
      </c>
      <c r="AP3" s="71" t="s">
        <v>310</v>
      </c>
      <c r="AQ3" s="71" t="s">
        <v>310</v>
      </c>
      <c r="AR3" s="71" t="s">
        <v>310</v>
      </c>
      <c r="AS3" s="71" t="s">
        <v>310</v>
      </c>
      <c r="AT3" s="71" t="s">
        <v>310</v>
      </c>
      <c r="AU3" s="71" t="s">
        <v>310</v>
      </c>
      <c r="AV3" s="71" t="s">
        <v>310</v>
      </c>
      <c r="AW3" s="71" t="s">
        <v>310</v>
      </c>
      <c r="AX3" s="71" t="s">
        <v>310</v>
      </c>
      <c r="AY3" s="71" t="s">
        <v>310</v>
      </c>
      <c r="AZ3" s="71" t="s">
        <v>310</v>
      </c>
      <c r="BA3" s="71" t="s">
        <v>310</v>
      </c>
      <c r="BB3" s="71" t="s">
        <v>310</v>
      </c>
      <c r="BC3" s="71" t="s">
        <v>310</v>
      </c>
      <c r="BD3" s="71" t="s">
        <v>310</v>
      </c>
      <c r="BE3" s="71" t="s">
        <v>310</v>
      </c>
      <c r="BF3" s="71" t="s">
        <v>310</v>
      </c>
      <c r="BG3" s="71" t="s">
        <v>310</v>
      </c>
      <c r="BH3" s="71" t="s">
        <v>310</v>
      </c>
      <c r="BI3" s="71" t="s">
        <v>310</v>
      </c>
      <c r="BJ3" s="71" t="s">
        <v>310</v>
      </c>
      <c r="BK3" s="71" t="s">
        <v>310</v>
      </c>
      <c r="BL3" s="71" t="s">
        <v>310</v>
      </c>
      <c r="BM3" s="71" t="s">
        <v>310</v>
      </c>
      <c r="BN3" s="71" t="s">
        <v>310</v>
      </c>
      <c r="BO3" s="71" t="s">
        <v>310</v>
      </c>
      <c r="BP3" s="71" t="s">
        <v>310</v>
      </c>
      <c r="BQ3" s="71" t="s">
        <v>310</v>
      </c>
      <c r="BR3" s="71" t="s">
        <v>310</v>
      </c>
      <c r="BS3" s="71" t="s">
        <v>310</v>
      </c>
      <c r="BT3" s="71" t="s">
        <v>310</v>
      </c>
      <c r="BU3" s="71" t="s">
        <v>310</v>
      </c>
      <c r="BV3" s="71" t="s">
        <v>310</v>
      </c>
      <c r="BW3" s="71" t="s">
        <v>310</v>
      </c>
      <c r="BX3" s="71" t="s">
        <v>310</v>
      </c>
      <c r="BY3" s="71" t="s">
        <v>310</v>
      </c>
      <c r="BZ3" s="71" t="s">
        <v>310</v>
      </c>
      <c r="CA3" s="71" t="s">
        <v>310</v>
      </c>
      <c r="CB3" s="71" t="s">
        <v>310</v>
      </c>
      <c r="CC3" s="71" t="s">
        <v>310</v>
      </c>
      <c r="CD3" s="71" t="s">
        <v>310</v>
      </c>
      <c r="CE3" s="71" t="s">
        <v>310</v>
      </c>
      <c r="CF3" s="71" t="s">
        <v>310</v>
      </c>
      <c r="CG3" s="71" t="s">
        <v>310</v>
      </c>
      <c r="CH3" s="71" t="s">
        <v>310</v>
      </c>
      <c r="CI3" s="71" t="s">
        <v>310</v>
      </c>
      <c r="CJ3" s="71" t="s">
        <v>310</v>
      </c>
      <c r="CK3" s="71" t="s">
        <v>310</v>
      </c>
      <c r="CL3" s="71" t="s">
        <v>310</v>
      </c>
      <c r="CM3" s="71" t="s">
        <v>310</v>
      </c>
      <c r="CN3" s="71" t="s">
        <v>310</v>
      </c>
      <c r="CO3" s="71" t="s">
        <v>310</v>
      </c>
      <c r="CP3" s="71" t="s">
        <v>310</v>
      </c>
      <c r="CQ3" s="71" t="s">
        <v>310</v>
      </c>
      <c r="CR3" s="71" t="s">
        <v>310</v>
      </c>
      <c r="CS3" s="71" t="s">
        <v>310</v>
      </c>
      <c r="CT3" s="71" t="s">
        <v>310</v>
      </c>
      <c r="CU3" s="71" t="s">
        <v>310</v>
      </c>
      <c r="CV3" s="71" t="s">
        <v>310</v>
      </c>
      <c r="CW3" s="71" t="s">
        <v>310</v>
      </c>
      <c r="CX3" s="71" t="s">
        <v>310</v>
      </c>
      <c r="CY3" s="71" t="s">
        <v>310</v>
      </c>
      <c r="CZ3" s="71" t="s">
        <v>310</v>
      </c>
      <c r="DA3" s="71" t="s">
        <v>310</v>
      </c>
      <c r="DB3" s="71" t="s">
        <v>310</v>
      </c>
      <c r="DC3" s="71" t="s">
        <v>310</v>
      </c>
      <c r="DD3" s="71" t="s">
        <v>310</v>
      </c>
      <c r="DE3" s="71" t="s">
        <v>310</v>
      </c>
      <c r="DF3" s="71" t="s">
        <v>310</v>
      </c>
      <c r="DG3" s="71" t="s">
        <v>310</v>
      </c>
      <c r="DH3" s="71" t="s">
        <v>310</v>
      </c>
      <c r="DI3" s="71" t="s">
        <v>310</v>
      </c>
      <c r="DJ3" s="71" t="s">
        <v>310</v>
      </c>
      <c r="DK3" s="71" t="s">
        <v>310</v>
      </c>
      <c r="DL3" s="71" t="s">
        <v>310</v>
      </c>
      <c r="DM3" s="71" t="s">
        <v>310</v>
      </c>
      <c r="DN3" s="71" t="s">
        <v>310</v>
      </c>
      <c r="DO3" s="71" t="s">
        <v>310</v>
      </c>
      <c r="DP3" s="71" t="s">
        <v>310</v>
      </c>
      <c r="DQ3" s="71" t="s">
        <v>310</v>
      </c>
      <c r="DR3" s="71" t="s">
        <v>310</v>
      </c>
      <c r="DS3" s="71" t="s">
        <v>310</v>
      </c>
      <c r="DT3" s="71" t="s">
        <v>310</v>
      </c>
      <c r="DU3" s="71" t="s">
        <v>310</v>
      </c>
      <c r="DV3" s="71" t="s">
        <v>310</v>
      </c>
      <c r="DW3" s="71" t="s">
        <v>310</v>
      </c>
      <c r="DX3" s="71" t="s">
        <v>310</v>
      </c>
      <c r="DY3" s="71" t="s">
        <v>310</v>
      </c>
      <c r="DZ3" s="71" t="s">
        <v>310</v>
      </c>
      <c r="EA3" s="71" t="s">
        <v>310</v>
      </c>
      <c r="EB3" s="71" t="s">
        <v>310</v>
      </c>
      <c r="EC3" s="71" t="s">
        <v>310</v>
      </c>
      <c r="ED3" s="71" t="s">
        <v>310</v>
      </c>
      <c r="EE3" s="71" t="s">
        <v>310</v>
      </c>
      <c r="EF3" s="71" t="s">
        <v>310</v>
      </c>
      <c r="EG3" s="71" t="s">
        <v>310</v>
      </c>
      <c r="EH3" s="71" t="s">
        <v>310</v>
      </c>
      <c r="EI3" s="71" t="s">
        <v>310</v>
      </c>
      <c r="EJ3" s="71" t="s">
        <v>310</v>
      </c>
      <c r="EK3" s="71" t="s">
        <v>310</v>
      </c>
      <c r="EL3" s="71" t="s">
        <v>310</v>
      </c>
      <c r="EM3" s="71" t="s">
        <v>310</v>
      </c>
      <c r="EN3" s="71" t="s">
        <v>310</v>
      </c>
      <c r="EO3" s="71" t="s">
        <v>310</v>
      </c>
      <c r="EP3" s="71" t="s">
        <v>310</v>
      </c>
      <c r="EQ3" s="71" t="s">
        <v>310</v>
      </c>
      <c r="ER3" s="71" t="s">
        <v>310</v>
      </c>
      <c r="ES3" s="71" t="s">
        <v>310</v>
      </c>
      <c r="ET3" s="71" t="s">
        <v>310</v>
      </c>
      <c r="EU3" s="96" t="s">
        <v>310</v>
      </c>
      <c r="EV3" s="96" t="s">
        <v>310</v>
      </c>
      <c r="EW3" s="102" t="s">
        <v>310</v>
      </c>
      <c r="EX3" s="102" t="s">
        <v>310</v>
      </c>
      <c r="EY3" s="96" t="s">
        <v>310</v>
      </c>
      <c r="EZ3" s="96" t="s">
        <v>310</v>
      </c>
      <c r="FA3" s="108" t="s">
        <v>310</v>
      </c>
      <c r="FB3" s="96" t="s">
        <v>310</v>
      </c>
      <c r="FC3" s="102" t="s">
        <v>310</v>
      </c>
      <c r="FD3" s="102" t="s">
        <v>310</v>
      </c>
      <c r="FE3" s="96" t="s">
        <v>310</v>
      </c>
      <c r="FF3" s="96" t="s">
        <v>310</v>
      </c>
      <c r="FG3" s="108" t="s">
        <v>310</v>
      </c>
      <c r="FH3" s="96" t="s">
        <v>310</v>
      </c>
      <c r="FI3" s="102" t="s">
        <v>310</v>
      </c>
      <c r="FJ3" s="102" t="s">
        <v>310</v>
      </c>
      <c r="FK3" s="96" t="s">
        <v>310</v>
      </c>
      <c r="FL3" s="71" t="s">
        <v>310</v>
      </c>
      <c r="FM3" s="96" t="s">
        <v>310</v>
      </c>
      <c r="FN3" s="102" t="s">
        <v>310</v>
      </c>
    </row>
    <row r="4" spans="1:170 16353:16353" x14ac:dyDescent="0.25">
      <c r="A4" s="51" t="s">
        <v>117</v>
      </c>
      <c r="B4" s="51" t="s">
        <v>117</v>
      </c>
      <c r="C4" s="51" t="s">
        <v>117</v>
      </c>
      <c r="D4" s="51" t="s">
        <v>122</v>
      </c>
      <c r="E4" s="51" t="s">
        <v>122</v>
      </c>
      <c r="F4" s="51" t="s">
        <v>127</v>
      </c>
      <c r="G4" s="51" t="s">
        <v>130</v>
      </c>
      <c r="H4" s="51" t="s">
        <v>130</v>
      </c>
      <c r="I4" s="45" t="s">
        <v>130</v>
      </c>
      <c r="J4" s="51" t="s">
        <v>130</v>
      </c>
      <c r="K4" s="51" t="s">
        <v>130</v>
      </c>
      <c r="L4" s="51" t="s">
        <v>117</v>
      </c>
      <c r="M4" s="52" t="s">
        <v>117</v>
      </c>
      <c r="N4" s="52" t="s">
        <v>122</v>
      </c>
      <c r="O4" s="68" t="s">
        <v>122</v>
      </c>
      <c r="P4" s="52" t="s">
        <v>127</v>
      </c>
      <c r="Q4" s="52" t="s">
        <v>117</v>
      </c>
      <c r="R4" s="52" t="s">
        <v>117</v>
      </c>
      <c r="S4" s="52" t="s">
        <v>122</v>
      </c>
      <c r="T4" s="52" t="s">
        <v>122</v>
      </c>
      <c r="U4" s="52" t="s">
        <v>117</v>
      </c>
      <c r="V4" s="52" t="s">
        <v>122</v>
      </c>
      <c r="W4" s="52" t="s">
        <v>127</v>
      </c>
      <c r="X4" s="52" t="s">
        <v>117</v>
      </c>
      <c r="Y4" s="52" t="s">
        <v>117</v>
      </c>
      <c r="Z4" s="52" t="s">
        <v>117</v>
      </c>
      <c r="AA4" s="52" t="s">
        <v>122</v>
      </c>
      <c r="AB4" s="52" t="s">
        <v>122</v>
      </c>
      <c r="AC4" s="52" t="s">
        <v>117</v>
      </c>
      <c r="AD4" s="52" t="s">
        <v>117</v>
      </c>
      <c r="AE4" s="52" t="s">
        <v>122</v>
      </c>
      <c r="AF4" s="52" t="s">
        <v>122</v>
      </c>
      <c r="AG4" s="51" t="s">
        <v>118</v>
      </c>
      <c r="AH4" s="51" t="s">
        <v>118</v>
      </c>
      <c r="AI4" s="51" t="s">
        <v>118</v>
      </c>
      <c r="AJ4" s="51" t="s">
        <v>128</v>
      </c>
      <c r="AK4" s="51" t="s">
        <v>128</v>
      </c>
      <c r="AL4" s="51" t="s">
        <v>118</v>
      </c>
      <c r="AM4" s="51" t="s">
        <v>118</v>
      </c>
      <c r="AN4" s="51" t="s">
        <v>118</v>
      </c>
      <c r="AO4" s="51" t="s">
        <v>128</v>
      </c>
      <c r="AP4" s="51" t="s">
        <v>128</v>
      </c>
      <c r="AQ4" s="51" t="s">
        <v>119</v>
      </c>
      <c r="AR4" s="51" t="s">
        <v>119</v>
      </c>
      <c r="AS4" s="51" t="s">
        <v>119</v>
      </c>
      <c r="AT4" s="51" t="s">
        <v>128</v>
      </c>
      <c r="AU4" s="51" t="s">
        <v>119</v>
      </c>
      <c r="AV4" s="51" t="s">
        <v>117</v>
      </c>
      <c r="AW4" s="52" t="s">
        <v>72</v>
      </c>
      <c r="AX4" s="52" t="s">
        <v>72</v>
      </c>
      <c r="AY4" s="52" t="s">
        <v>72</v>
      </c>
      <c r="AZ4" s="52" t="s">
        <v>72</v>
      </c>
      <c r="BA4" s="52" t="s">
        <v>72</v>
      </c>
      <c r="BB4" s="52" t="s">
        <v>72</v>
      </c>
      <c r="BC4" s="52" t="s">
        <v>72</v>
      </c>
      <c r="BD4" s="52" t="s">
        <v>72</v>
      </c>
      <c r="BE4" s="52" t="s">
        <v>72</v>
      </c>
      <c r="BF4" s="52" t="s">
        <v>72</v>
      </c>
      <c r="BG4" s="52" t="s">
        <v>72</v>
      </c>
      <c r="BH4" s="52" t="s">
        <v>72</v>
      </c>
      <c r="BI4" s="52" t="s">
        <v>72</v>
      </c>
      <c r="BJ4" s="52" t="s">
        <v>72</v>
      </c>
      <c r="BK4" s="51" t="s">
        <v>117</v>
      </c>
      <c r="BL4" s="51" t="s">
        <v>117</v>
      </c>
      <c r="BM4" s="51" t="s">
        <v>117</v>
      </c>
      <c r="BN4" s="51" t="s">
        <v>122</v>
      </c>
      <c r="BO4" s="51" t="s">
        <v>122</v>
      </c>
      <c r="BP4" s="51" t="s">
        <v>122</v>
      </c>
      <c r="BQ4" s="51" t="s">
        <v>207</v>
      </c>
      <c r="BR4" s="51" t="s">
        <v>127</v>
      </c>
      <c r="BS4" s="51" t="s">
        <v>117</v>
      </c>
      <c r="BT4" s="51" t="s">
        <v>117</v>
      </c>
      <c r="BU4" s="51" t="s">
        <v>117</v>
      </c>
      <c r="BV4" s="51" t="s">
        <v>122</v>
      </c>
      <c r="BW4" s="51" t="s">
        <v>117</v>
      </c>
      <c r="BX4" s="51" t="s">
        <v>117</v>
      </c>
      <c r="BY4" s="51" t="s">
        <v>117</v>
      </c>
      <c r="BZ4" s="51" t="s">
        <v>122</v>
      </c>
      <c r="CA4" s="51" t="s">
        <v>117</v>
      </c>
      <c r="CB4" s="51" t="s">
        <v>117</v>
      </c>
      <c r="CC4" s="51" t="s">
        <v>117</v>
      </c>
      <c r="CD4" s="51" t="s">
        <v>122</v>
      </c>
      <c r="CE4" s="72" t="s">
        <v>242</v>
      </c>
      <c r="CF4" s="72" t="s">
        <v>242</v>
      </c>
      <c r="CG4" s="72" t="s">
        <v>242</v>
      </c>
      <c r="CH4" s="72" t="s">
        <v>242</v>
      </c>
      <c r="CI4" s="51" t="s">
        <v>117</v>
      </c>
      <c r="CJ4" s="51" t="s">
        <v>117</v>
      </c>
      <c r="CK4" s="51" t="s">
        <v>117</v>
      </c>
      <c r="CL4" s="51" t="s">
        <v>122</v>
      </c>
      <c r="CM4" s="51" t="s">
        <v>122</v>
      </c>
      <c r="CN4" s="51" t="s">
        <v>122</v>
      </c>
      <c r="CO4" s="51" t="s">
        <v>127</v>
      </c>
      <c r="CP4" s="51" t="s">
        <v>130</v>
      </c>
      <c r="CQ4" s="51" t="s">
        <v>130</v>
      </c>
      <c r="CR4" s="51" t="s">
        <v>130</v>
      </c>
      <c r="CS4" s="51" t="s">
        <v>130</v>
      </c>
      <c r="CT4" s="51" t="s">
        <v>130</v>
      </c>
      <c r="CU4" s="51" t="s">
        <v>117</v>
      </c>
      <c r="CV4" s="51" t="s">
        <v>117</v>
      </c>
      <c r="CW4" s="51" t="s">
        <v>122</v>
      </c>
      <c r="CX4" s="51" t="s">
        <v>122</v>
      </c>
      <c r="CY4" s="51" t="s">
        <v>127</v>
      </c>
      <c r="CZ4" s="51" t="s">
        <v>117</v>
      </c>
      <c r="DA4" s="51" t="s">
        <v>117</v>
      </c>
      <c r="DB4" s="51" t="s">
        <v>122</v>
      </c>
      <c r="DC4" s="51" t="s">
        <v>122</v>
      </c>
      <c r="DD4" s="51" t="s">
        <v>117</v>
      </c>
      <c r="DE4" s="51" t="s">
        <v>122</v>
      </c>
      <c r="DF4" s="51" t="s">
        <v>127</v>
      </c>
      <c r="DG4" s="51" t="s">
        <v>117</v>
      </c>
      <c r="DH4" s="51" t="s">
        <v>117</v>
      </c>
      <c r="DI4" s="51" t="s">
        <v>117</v>
      </c>
      <c r="DJ4" s="51" t="s">
        <v>122</v>
      </c>
      <c r="DK4" s="51" t="s">
        <v>122</v>
      </c>
      <c r="DL4" s="51" t="s">
        <v>117</v>
      </c>
      <c r="DM4" s="51" t="s">
        <v>117</v>
      </c>
      <c r="DN4" s="51" t="s">
        <v>122</v>
      </c>
      <c r="DO4" s="51" t="s">
        <v>119</v>
      </c>
      <c r="DP4" s="51" t="s">
        <v>119</v>
      </c>
      <c r="DQ4" s="51" t="s">
        <v>117</v>
      </c>
      <c r="DR4" s="51" t="s">
        <v>122</v>
      </c>
      <c r="DS4" s="51" t="s">
        <v>122</v>
      </c>
      <c r="DT4" s="51" t="s">
        <v>119</v>
      </c>
      <c r="DU4" s="51" t="s">
        <v>119</v>
      </c>
      <c r="DV4" s="51" t="s">
        <v>117</v>
      </c>
      <c r="DW4" s="51" t="s">
        <v>122</v>
      </c>
      <c r="DX4" s="51" t="s">
        <v>122</v>
      </c>
      <c r="DY4" s="72" t="s">
        <v>118</v>
      </c>
      <c r="DZ4" s="72" t="s">
        <v>117</v>
      </c>
      <c r="EA4" s="72" t="s">
        <v>117</v>
      </c>
      <c r="EB4" s="72" t="s">
        <v>128</v>
      </c>
      <c r="EC4" s="72" t="s">
        <v>244</v>
      </c>
      <c r="ED4" s="72" t="s">
        <v>119</v>
      </c>
      <c r="EE4" s="72" t="s">
        <v>119</v>
      </c>
      <c r="EF4" s="72" t="s">
        <v>119</v>
      </c>
      <c r="EG4" s="72" t="s">
        <v>117</v>
      </c>
      <c r="EH4" s="72" t="s">
        <v>117</v>
      </c>
      <c r="EI4" s="72" t="s">
        <v>117</v>
      </c>
      <c r="EJ4" s="72" t="s">
        <v>244</v>
      </c>
      <c r="EK4" s="72" t="s">
        <v>119</v>
      </c>
      <c r="EL4" s="72" t="s">
        <v>119</v>
      </c>
      <c r="EM4" s="72" t="s">
        <v>119</v>
      </c>
      <c r="EN4" s="72" t="s">
        <v>117</v>
      </c>
      <c r="EO4" s="72" t="s">
        <v>117</v>
      </c>
      <c r="EP4" s="72" t="s">
        <v>117</v>
      </c>
      <c r="EQ4" s="74" t="s">
        <v>72</v>
      </c>
      <c r="ER4" s="74" t="s">
        <v>72</v>
      </c>
      <c r="ES4" s="74" t="s">
        <v>72</v>
      </c>
      <c r="ET4" s="74" t="s">
        <v>72</v>
      </c>
      <c r="EU4" s="45" t="s">
        <v>118</v>
      </c>
      <c r="EV4" s="45" t="s">
        <v>118</v>
      </c>
      <c r="EW4" s="103" t="s">
        <v>118</v>
      </c>
      <c r="EX4" s="103" t="s">
        <v>128</v>
      </c>
      <c r="EY4" s="45" t="s">
        <v>122</v>
      </c>
      <c r="EZ4" s="45" t="s">
        <v>127</v>
      </c>
      <c r="FA4" s="109" t="s">
        <v>118</v>
      </c>
      <c r="FB4" s="45" t="s">
        <v>118</v>
      </c>
      <c r="FC4" s="103" t="s">
        <v>118</v>
      </c>
      <c r="FD4" s="103" t="s">
        <v>128</v>
      </c>
      <c r="FE4" s="45" t="s">
        <v>122</v>
      </c>
      <c r="FF4" s="45" t="s">
        <v>127</v>
      </c>
      <c r="FG4" s="109" t="s">
        <v>118</v>
      </c>
      <c r="FH4" s="45" t="s">
        <v>118</v>
      </c>
      <c r="FI4" s="103" t="s">
        <v>118</v>
      </c>
      <c r="FJ4" s="103" t="s">
        <v>119</v>
      </c>
      <c r="FK4" s="45" t="s">
        <v>117</v>
      </c>
      <c r="FL4" s="51" t="s">
        <v>128</v>
      </c>
      <c r="FM4" s="45" t="s">
        <v>122</v>
      </c>
      <c r="FN4" s="103" t="s">
        <v>127</v>
      </c>
    </row>
    <row r="5" spans="1:170 16353:16353" x14ac:dyDescent="0.25">
      <c r="A5" s="52" t="s">
        <v>133</v>
      </c>
      <c r="B5" s="52" t="s">
        <v>133</v>
      </c>
      <c r="C5" s="52" t="s">
        <v>133</v>
      </c>
      <c r="D5" s="52" t="s">
        <v>139</v>
      </c>
      <c r="E5" s="52" t="s">
        <v>139</v>
      </c>
      <c r="F5" s="52" t="s">
        <v>142</v>
      </c>
      <c r="G5" s="52" t="s">
        <v>143</v>
      </c>
      <c r="H5" s="51" t="s">
        <v>143</v>
      </c>
      <c r="I5" s="45" t="s">
        <v>143</v>
      </c>
      <c r="J5" s="51" t="s">
        <v>143</v>
      </c>
      <c r="K5" s="51" t="s">
        <v>143</v>
      </c>
      <c r="L5" s="52" t="s">
        <v>133</v>
      </c>
      <c r="M5" s="64" t="s">
        <v>133</v>
      </c>
      <c r="N5" s="64" t="s">
        <v>139</v>
      </c>
      <c r="O5" s="69" t="s">
        <v>139</v>
      </c>
      <c r="P5" s="64" t="s">
        <v>142</v>
      </c>
      <c r="Q5" s="64" t="s">
        <v>133</v>
      </c>
      <c r="R5" s="64" t="s">
        <v>133</v>
      </c>
      <c r="S5" s="64" t="s">
        <v>139</v>
      </c>
      <c r="T5" s="64" t="s">
        <v>139</v>
      </c>
      <c r="U5" s="64" t="s">
        <v>133</v>
      </c>
      <c r="V5" s="64" t="s">
        <v>139</v>
      </c>
      <c r="W5" s="64" t="s">
        <v>142</v>
      </c>
      <c r="X5" s="64" t="s">
        <v>133</v>
      </c>
      <c r="Y5" s="64" t="s">
        <v>133</v>
      </c>
      <c r="Z5" s="64" t="s">
        <v>133</v>
      </c>
      <c r="AA5" s="64" t="s">
        <v>139</v>
      </c>
      <c r="AB5" s="64" t="s">
        <v>139</v>
      </c>
      <c r="AC5" s="64" t="s">
        <v>133</v>
      </c>
      <c r="AD5" s="64" t="s">
        <v>133</v>
      </c>
      <c r="AE5" s="64" t="s">
        <v>139</v>
      </c>
      <c r="AF5" s="64" t="s">
        <v>139</v>
      </c>
      <c r="AG5" s="51" t="s">
        <v>119</v>
      </c>
      <c r="AH5" s="51" t="s">
        <v>119</v>
      </c>
      <c r="AI5" s="51" t="s">
        <v>119</v>
      </c>
      <c r="AJ5" s="51" t="s">
        <v>122</v>
      </c>
      <c r="AK5" s="51" t="s">
        <v>122</v>
      </c>
      <c r="AL5" s="51" t="s">
        <v>119</v>
      </c>
      <c r="AM5" s="51" t="s">
        <v>119</v>
      </c>
      <c r="AN5" s="51" t="s">
        <v>119</v>
      </c>
      <c r="AO5" s="51" t="s">
        <v>122</v>
      </c>
      <c r="AP5" s="51" t="s">
        <v>122</v>
      </c>
      <c r="AQ5" s="51" t="s">
        <v>131</v>
      </c>
      <c r="AR5" s="51" t="s">
        <v>131</v>
      </c>
      <c r="AS5" s="51" t="s">
        <v>131</v>
      </c>
      <c r="AT5" s="51" t="s">
        <v>136</v>
      </c>
      <c r="AU5" s="51" t="s">
        <v>131</v>
      </c>
      <c r="AV5" s="51" t="s">
        <v>133</v>
      </c>
      <c r="AW5" s="67" t="s">
        <v>309</v>
      </c>
      <c r="AX5" s="67" t="s">
        <v>309</v>
      </c>
      <c r="AY5" s="67" t="s">
        <v>309</v>
      </c>
      <c r="AZ5" s="67" t="s">
        <v>309</v>
      </c>
      <c r="BA5" s="67" t="s">
        <v>309</v>
      </c>
      <c r="BB5" s="67" t="s">
        <v>309</v>
      </c>
      <c r="BC5" s="67" t="s">
        <v>309</v>
      </c>
      <c r="BD5" s="67" t="s">
        <v>309</v>
      </c>
      <c r="BE5" s="67" t="s">
        <v>309</v>
      </c>
      <c r="BF5" s="67" t="s">
        <v>309</v>
      </c>
      <c r="BG5" s="67" t="s">
        <v>309</v>
      </c>
      <c r="BH5" s="67" t="s">
        <v>309</v>
      </c>
      <c r="BI5" s="67" t="s">
        <v>309</v>
      </c>
      <c r="BJ5" s="67" t="s">
        <v>309</v>
      </c>
      <c r="BK5" s="51" t="s">
        <v>134</v>
      </c>
      <c r="BL5" s="51" t="s">
        <v>134</v>
      </c>
      <c r="BM5" s="51" t="s">
        <v>134</v>
      </c>
      <c r="BN5" s="51" t="s">
        <v>137</v>
      </c>
      <c r="BO5" s="51" t="s">
        <v>137</v>
      </c>
      <c r="BP5" s="51" t="s">
        <v>137</v>
      </c>
      <c r="BQ5" s="52" t="s">
        <v>200</v>
      </c>
      <c r="BR5" s="51" t="s">
        <v>141</v>
      </c>
      <c r="BS5" s="51" t="s">
        <v>134</v>
      </c>
      <c r="BT5" s="51" t="s">
        <v>134</v>
      </c>
      <c r="BU5" s="51" t="s">
        <v>134</v>
      </c>
      <c r="BV5" s="51" t="s">
        <v>137</v>
      </c>
      <c r="BW5" s="51" t="s">
        <v>134</v>
      </c>
      <c r="BX5" s="51" t="s">
        <v>134</v>
      </c>
      <c r="BY5" s="51" t="s">
        <v>134</v>
      </c>
      <c r="BZ5" s="51" t="s">
        <v>137</v>
      </c>
      <c r="CA5" s="51" t="s">
        <v>134</v>
      </c>
      <c r="CB5" s="51" t="s">
        <v>134</v>
      </c>
      <c r="CC5" s="51" t="s">
        <v>134</v>
      </c>
      <c r="CD5" s="51" t="s">
        <v>137</v>
      </c>
      <c r="CE5" s="74" t="s">
        <v>243</v>
      </c>
      <c r="CF5" s="74" t="s">
        <v>243</v>
      </c>
      <c r="CG5" s="74" t="s">
        <v>243</v>
      </c>
      <c r="CH5" s="74" t="s">
        <v>243</v>
      </c>
      <c r="CI5" s="52" t="s">
        <v>133</v>
      </c>
      <c r="CJ5" s="52" t="s">
        <v>133</v>
      </c>
      <c r="CK5" s="52" t="s">
        <v>133</v>
      </c>
      <c r="CL5" s="52" t="s">
        <v>139</v>
      </c>
      <c r="CM5" s="52" t="s">
        <v>139</v>
      </c>
      <c r="CN5" s="52" t="s">
        <v>139</v>
      </c>
      <c r="CO5" s="52" t="s">
        <v>142</v>
      </c>
      <c r="CP5" s="52" t="s">
        <v>143</v>
      </c>
      <c r="CQ5" s="51" t="s">
        <v>143</v>
      </c>
      <c r="CR5" s="51" t="s">
        <v>143</v>
      </c>
      <c r="CS5" s="51" t="s">
        <v>143</v>
      </c>
      <c r="CT5" s="51" t="s">
        <v>143</v>
      </c>
      <c r="CU5" s="52" t="s">
        <v>133</v>
      </c>
      <c r="CV5" s="52" t="s">
        <v>133</v>
      </c>
      <c r="CW5" s="52" t="s">
        <v>139</v>
      </c>
      <c r="CX5" s="52" t="s">
        <v>139</v>
      </c>
      <c r="CY5" s="52" t="s">
        <v>142</v>
      </c>
      <c r="CZ5" s="52" t="s">
        <v>133</v>
      </c>
      <c r="DA5" s="52" t="s">
        <v>133</v>
      </c>
      <c r="DB5" s="52" t="s">
        <v>139</v>
      </c>
      <c r="DC5" s="52" t="s">
        <v>139</v>
      </c>
      <c r="DD5" s="52" t="s">
        <v>133</v>
      </c>
      <c r="DE5" s="52" t="s">
        <v>139</v>
      </c>
      <c r="DF5" s="52" t="s">
        <v>142</v>
      </c>
      <c r="DG5" s="52" t="s">
        <v>133</v>
      </c>
      <c r="DH5" s="52" t="s">
        <v>133</v>
      </c>
      <c r="DI5" s="52" t="s">
        <v>133</v>
      </c>
      <c r="DJ5" s="52" t="s">
        <v>139</v>
      </c>
      <c r="DK5" s="52" t="s">
        <v>139</v>
      </c>
      <c r="DL5" s="52" t="s">
        <v>133</v>
      </c>
      <c r="DM5" s="52" t="s">
        <v>133</v>
      </c>
      <c r="DN5" s="52" t="s">
        <v>139</v>
      </c>
      <c r="DO5" s="51" t="s">
        <v>131</v>
      </c>
      <c r="DP5" s="51" t="s">
        <v>131</v>
      </c>
      <c r="DQ5" s="52" t="s">
        <v>133</v>
      </c>
      <c r="DR5" s="52" t="s">
        <v>139</v>
      </c>
      <c r="DS5" s="52" t="s">
        <v>139</v>
      </c>
      <c r="DT5" s="51" t="s">
        <v>131</v>
      </c>
      <c r="DU5" s="51" t="s">
        <v>131</v>
      </c>
      <c r="DV5" s="52" t="s">
        <v>133</v>
      </c>
      <c r="DW5" s="52" t="s">
        <v>139</v>
      </c>
      <c r="DX5" s="52" t="s">
        <v>139</v>
      </c>
      <c r="DY5" s="72" t="s">
        <v>119</v>
      </c>
      <c r="DZ5" s="72" t="s">
        <v>133</v>
      </c>
      <c r="EA5" s="72" t="s">
        <v>133</v>
      </c>
      <c r="EB5" s="72" t="s">
        <v>136</v>
      </c>
      <c r="EC5" s="72" t="s">
        <v>118</v>
      </c>
      <c r="ED5" s="74" t="s">
        <v>131</v>
      </c>
      <c r="EE5" s="74" t="s">
        <v>131</v>
      </c>
      <c r="EF5" s="74" t="s">
        <v>131</v>
      </c>
      <c r="EG5" s="74" t="s">
        <v>133</v>
      </c>
      <c r="EH5" s="74" t="s">
        <v>133</v>
      </c>
      <c r="EI5" s="74" t="s">
        <v>133</v>
      </c>
      <c r="EJ5" s="72" t="s">
        <v>118</v>
      </c>
      <c r="EK5" s="74" t="s">
        <v>131</v>
      </c>
      <c r="EL5" s="74" t="s">
        <v>131</v>
      </c>
      <c r="EM5" s="74" t="s">
        <v>131</v>
      </c>
      <c r="EN5" s="74" t="s">
        <v>133</v>
      </c>
      <c r="EO5" s="74" t="s">
        <v>133</v>
      </c>
      <c r="EP5" s="74" t="s">
        <v>133</v>
      </c>
      <c r="EQ5" s="67" t="s">
        <v>309</v>
      </c>
      <c r="ER5" s="67" t="s">
        <v>309</v>
      </c>
      <c r="ES5" s="67" t="s">
        <v>309</v>
      </c>
      <c r="ET5" s="67" t="s">
        <v>309</v>
      </c>
      <c r="EU5" s="45" t="s">
        <v>119</v>
      </c>
      <c r="EV5" s="45" t="s">
        <v>119</v>
      </c>
      <c r="EW5" s="103" t="s">
        <v>119</v>
      </c>
      <c r="EX5" s="103" t="s">
        <v>122</v>
      </c>
      <c r="EY5" s="45" t="s">
        <v>139</v>
      </c>
      <c r="EZ5" s="45" t="s">
        <v>142</v>
      </c>
      <c r="FA5" s="109" t="s">
        <v>119</v>
      </c>
      <c r="FB5" s="45" t="s">
        <v>119</v>
      </c>
      <c r="FC5" s="103" t="s">
        <v>119</v>
      </c>
      <c r="FD5" s="103" t="s">
        <v>122</v>
      </c>
      <c r="FE5" s="45" t="s">
        <v>139</v>
      </c>
      <c r="FF5" s="45" t="s">
        <v>142</v>
      </c>
      <c r="FG5" s="109" t="s">
        <v>119</v>
      </c>
      <c r="FH5" s="45" t="s">
        <v>119</v>
      </c>
      <c r="FI5" s="103" t="s">
        <v>119</v>
      </c>
      <c r="FJ5" s="103" t="s">
        <v>117</v>
      </c>
      <c r="FK5" s="45" t="s">
        <v>133</v>
      </c>
      <c r="FL5" s="51" t="s">
        <v>122</v>
      </c>
      <c r="FM5" s="45" t="s">
        <v>139</v>
      </c>
      <c r="FN5" s="103" t="s">
        <v>142</v>
      </c>
    </row>
    <row r="6" spans="1:170 16353:16353" x14ac:dyDescent="0.25">
      <c r="A6" s="51" t="s">
        <v>200</v>
      </c>
      <c r="B6" s="51" t="s">
        <v>200</v>
      </c>
      <c r="C6" s="52" t="s">
        <v>200</v>
      </c>
      <c r="D6" s="52" t="s">
        <v>200</v>
      </c>
      <c r="E6" s="52" t="s">
        <v>200</v>
      </c>
      <c r="F6" s="52" t="s">
        <v>200</v>
      </c>
      <c r="G6" s="52" t="s">
        <v>200</v>
      </c>
      <c r="H6" s="51" t="s">
        <v>132</v>
      </c>
      <c r="I6" s="45" t="s">
        <v>132</v>
      </c>
      <c r="J6" s="51" t="s">
        <v>132</v>
      </c>
      <c r="K6" s="51" t="s">
        <v>132</v>
      </c>
      <c r="L6" s="51" t="s">
        <v>200</v>
      </c>
      <c r="M6" s="51" t="s">
        <v>200</v>
      </c>
      <c r="N6" s="51" t="s">
        <v>200</v>
      </c>
      <c r="O6" s="67" t="s">
        <v>200</v>
      </c>
      <c r="P6" s="51" t="s">
        <v>200</v>
      </c>
      <c r="Q6" s="51" t="s">
        <v>200</v>
      </c>
      <c r="R6" s="51" t="s">
        <v>200</v>
      </c>
      <c r="S6" s="51" t="s">
        <v>200</v>
      </c>
      <c r="T6" s="51" t="s">
        <v>200</v>
      </c>
      <c r="U6" s="51" t="s">
        <v>200</v>
      </c>
      <c r="V6" s="51" t="s">
        <v>200</v>
      </c>
      <c r="W6" s="51" t="s">
        <v>200</v>
      </c>
      <c r="X6" s="51" t="s">
        <v>200</v>
      </c>
      <c r="Y6" s="51" t="s">
        <v>200</v>
      </c>
      <c r="Z6" s="51" t="s">
        <v>200</v>
      </c>
      <c r="AA6" s="51" t="s">
        <v>200</v>
      </c>
      <c r="AB6" s="51" t="s">
        <v>200</v>
      </c>
      <c r="AC6" s="51" t="s">
        <v>200</v>
      </c>
      <c r="AD6" s="51" t="s">
        <v>200</v>
      </c>
      <c r="AE6" s="51" t="s">
        <v>200</v>
      </c>
      <c r="AF6" s="51" t="s">
        <v>200</v>
      </c>
      <c r="AG6" s="51" t="s">
        <v>117</v>
      </c>
      <c r="AH6" s="51" t="s">
        <v>117</v>
      </c>
      <c r="AI6" s="51" t="s">
        <v>117</v>
      </c>
      <c r="AJ6" s="51" t="s">
        <v>136</v>
      </c>
      <c r="AK6" s="51" t="s">
        <v>136</v>
      </c>
      <c r="AL6" s="51" t="s">
        <v>117</v>
      </c>
      <c r="AM6" s="51" t="s">
        <v>117</v>
      </c>
      <c r="AN6" s="51" t="s">
        <v>117</v>
      </c>
      <c r="AO6" s="51" t="s">
        <v>136</v>
      </c>
      <c r="AP6" s="51" t="s">
        <v>136</v>
      </c>
      <c r="AQ6" s="51" t="s">
        <v>200</v>
      </c>
      <c r="AR6" s="51" t="s">
        <v>200</v>
      </c>
      <c r="AS6" s="51" t="s">
        <v>200</v>
      </c>
      <c r="AT6" s="51" t="s">
        <v>200</v>
      </c>
      <c r="AU6" s="51" t="s">
        <v>200</v>
      </c>
      <c r="AV6" s="51" t="s">
        <v>200</v>
      </c>
      <c r="AW6" s="46" t="s">
        <v>72</v>
      </c>
      <c r="AX6" s="46" t="s">
        <v>72</v>
      </c>
      <c r="AY6" s="46" t="s">
        <v>72</v>
      </c>
      <c r="AZ6" s="46" t="s">
        <v>72</v>
      </c>
      <c r="BA6" s="46" t="s">
        <v>72</v>
      </c>
      <c r="BB6" s="46" t="s">
        <v>72</v>
      </c>
      <c r="BC6" s="46" t="s">
        <v>72</v>
      </c>
      <c r="BD6" s="46" t="s">
        <v>72</v>
      </c>
      <c r="BE6" s="46" t="s">
        <v>72</v>
      </c>
      <c r="BF6" s="46" t="s">
        <v>72</v>
      </c>
      <c r="BG6" s="46" t="s">
        <v>72</v>
      </c>
      <c r="BH6" s="46" t="s">
        <v>72</v>
      </c>
      <c r="BI6" s="46" t="s">
        <v>72</v>
      </c>
      <c r="BJ6" s="46" t="s">
        <v>72</v>
      </c>
      <c r="BK6" s="51" t="s">
        <v>119</v>
      </c>
      <c r="BL6" s="51" t="s">
        <v>119</v>
      </c>
      <c r="BM6" s="51" t="s">
        <v>119</v>
      </c>
      <c r="BN6" s="52" t="s">
        <v>200</v>
      </c>
      <c r="BO6" s="52" t="s">
        <v>200</v>
      </c>
      <c r="BP6" s="52" t="s">
        <v>200</v>
      </c>
      <c r="BQ6" s="67" t="s">
        <v>309</v>
      </c>
      <c r="BR6" s="52" t="s">
        <v>200</v>
      </c>
      <c r="BS6" s="51" t="s">
        <v>119</v>
      </c>
      <c r="BT6" s="51" t="s">
        <v>119</v>
      </c>
      <c r="BU6" s="51" t="s">
        <v>119</v>
      </c>
      <c r="BV6" s="52" t="s">
        <v>200</v>
      </c>
      <c r="BW6" s="52" t="s">
        <v>200</v>
      </c>
      <c r="BX6" s="52" t="s">
        <v>200</v>
      </c>
      <c r="BY6" s="52" t="s">
        <v>200</v>
      </c>
      <c r="BZ6" s="52" t="s">
        <v>200</v>
      </c>
      <c r="CA6" s="52" t="s">
        <v>200</v>
      </c>
      <c r="CB6" s="52" t="s">
        <v>200</v>
      </c>
      <c r="CC6" s="52" t="s">
        <v>200</v>
      </c>
      <c r="CD6" s="52" t="s">
        <v>200</v>
      </c>
      <c r="CE6" s="52" t="s">
        <v>200</v>
      </c>
      <c r="CF6" s="52" t="s">
        <v>200</v>
      </c>
      <c r="CG6" s="52" t="s">
        <v>200</v>
      </c>
      <c r="CH6" s="52" t="s">
        <v>200</v>
      </c>
      <c r="CI6" s="52" t="s">
        <v>200</v>
      </c>
      <c r="CJ6" s="52" t="s">
        <v>200</v>
      </c>
      <c r="CK6" s="52" t="s">
        <v>200</v>
      </c>
      <c r="CL6" s="52" t="s">
        <v>200</v>
      </c>
      <c r="CM6" s="52" t="s">
        <v>200</v>
      </c>
      <c r="CN6" s="52" t="s">
        <v>200</v>
      </c>
      <c r="CO6" s="52" t="s">
        <v>200</v>
      </c>
      <c r="CP6" s="52" t="s">
        <v>200</v>
      </c>
      <c r="CQ6" s="51" t="s">
        <v>132</v>
      </c>
      <c r="CR6" s="51" t="s">
        <v>132</v>
      </c>
      <c r="CS6" s="51" t="s">
        <v>132</v>
      </c>
      <c r="CT6" s="51" t="s">
        <v>132</v>
      </c>
      <c r="CU6" s="52" t="s">
        <v>200</v>
      </c>
      <c r="CV6" s="52" t="s">
        <v>200</v>
      </c>
      <c r="CW6" s="52" t="s">
        <v>200</v>
      </c>
      <c r="CX6" s="52" t="s">
        <v>200</v>
      </c>
      <c r="CY6" s="52" t="s">
        <v>200</v>
      </c>
      <c r="CZ6" s="52" t="s">
        <v>200</v>
      </c>
      <c r="DA6" s="52" t="s">
        <v>200</v>
      </c>
      <c r="DB6" s="52" t="s">
        <v>200</v>
      </c>
      <c r="DC6" s="52" t="s">
        <v>200</v>
      </c>
      <c r="DD6" s="52" t="s">
        <v>200</v>
      </c>
      <c r="DE6" s="52" t="s">
        <v>200</v>
      </c>
      <c r="DF6" s="52" t="s">
        <v>200</v>
      </c>
      <c r="DG6" s="52" t="s">
        <v>200</v>
      </c>
      <c r="DH6" s="52" t="s">
        <v>200</v>
      </c>
      <c r="DI6" s="52" t="s">
        <v>200</v>
      </c>
      <c r="DJ6" s="52" t="s">
        <v>200</v>
      </c>
      <c r="DK6" s="52" t="s">
        <v>200</v>
      </c>
      <c r="DL6" s="52" t="s">
        <v>200</v>
      </c>
      <c r="DM6" s="52" t="s">
        <v>200</v>
      </c>
      <c r="DN6" s="52" t="s">
        <v>200</v>
      </c>
      <c r="DO6" s="51" t="s">
        <v>117</v>
      </c>
      <c r="DP6" s="51" t="s">
        <v>117</v>
      </c>
      <c r="DQ6" s="67" t="s">
        <v>309</v>
      </c>
      <c r="DR6" s="67" t="s">
        <v>309</v>
      </c>
      <c r="DS6" s="67" t="s">
        <v>309</v>
      </c>
      <c r="DT6" s="51" t="s">
        <v>117</v>
      </c>
      <c r="DU6" s="51" t="s">
        <v>117</v>
      </c>
      <c r="DV6" s="67" t="s">
        <v>309</v>
      </c>
      <c r="DW6" s="67" t="s">
        <v>309</v>
      </c>
      <c r="DX6" s="67" t="s">
        <v>309</v>
      </c>
      <c r="DY6" s="72" t="s">
        <v>140</v>
      </c>
      <c r="DZ6" s="72" t="s">
        <v>128</v>
      </c>
      <c r="EA6" s="72" t="s">
        <v>128</v>
      </c>
      <c r="EB6" s="72" t="s">
        <v>122</v>
      </c>
      <c r="EC6" s="72" t="s">
        <v>245</v>
      </c>
      <c r="ED6" s="67" t="s">
        <v>309</v>
      </c>
      <c r="EE6" s="67" t="s">
        <v>309</v>
      </c>
      <c r="EF6" s="67" t="s">
        <v>309</v>
      </c>
      <c r="EG6" s="67" t="s">
        <v>309</v>
      </c>
      <c r="EH6" s="67" t="s">
        <v>309</v>
      </c>
      <c r="EI6" s="67" t="s">
        <v>309</v>
      </c>
      <c r="EJ6" s="72" t="s">
        <v>245</v>
      </c>
      <c r="EK6" s="67" t="s">
        <v>309</v>
      </c>
      <c r="EL6" s="67" t="s">
        <v>309</v>
      </c>
      <c r="EM6" s="67" t="s">
        <v>309</v>
      </c>
      <c r="EN6" s="67" t="s">
        <v>309</v>
      </c>
      <c r="EO6" s="67" t="s">
        <v>309</v>
      </c>
      <c r="EP6" s="67" t="s">
        <v>309</v>
      </c>
      <c r="EQ6" s="83" t="s">
        <v>72</v>
      </c>
      <c r="ER6" s="83" t="s">
        <v>72</v>
      </c>
      <c r="ES6" s="83" t="s">
        <v>72</v>
      </c>
      <c r="ET6" s="83" t="s">
        <v>72</v>
      </c>
      <c r="EU6" s="45" t="s">
        <v>117</v>
      </c>
      <c r="EV6" s="45" t="s">
        <v>117</v>
      </c>
      <c r="EW6" s="103" t="s">
        <v>117</v>
      </c>
      <c r="EX6" s="103" t="s">
        <v>136</v>
      </c>
      <c r="EY6" s="97" t="s">
        <v>309</v>
      </c>
      <c r="EZ6" s="97" t="s">
        <v>309</v>
      </c>
      <c r="FA6" s="109" t="s">
        <v>117</v>
      </c>
      <c r="FB6" s="45" t="s">
        <v>117</v>
      </c>
      <c r="FC6" s="103" t="s">
        <v>117</v>
      </c>
      <c r="FD6" s="103" t="s">
        <v>136</v>
      </c>
      <c r="FE6" s="97" t="s">
        <v>309</v>
      </c>
      <c r="FF6" s="97" t="s">
        <v>309</v>
      </c>
      <c r="FG6" s="109" t="s">
        <v>117</v>
      </c>
      <c r="FH6" s="45" t="s">
        <v>117</v>
      </c>
      <c r="FI6" s="103" t="s">
        <v>117</v>
      </c>
      <c r="FJ6" s="103" t="s">
        <v>131</v>
      </c>
      <c r="FK6" s="97" t="s">
        <v>309</v>
      </c>
      <c r="FL6" s="51" t="s">
        <v>136</v>
      </c>
      <c r="FM6" s="97" t="s">
        <v>309</v>
      </c>
      <c r="FN6" s="104" t="s">
        <v>309</v>
      </c>
    </row>
    <row r="7" spans="1:170 16353:16353" x14ac:dyDescent="0.25">
      <c r="A7" s="53" t="s">
        <v>311</v>
      </c>
      <c r="B7" s="53" t="s">
        <v>311</v>
      </c>
      <c r="C7" s="58" t="s">
        <v>309</v>
      </c>
      <c r="D7" s="58" t="s">
        <v>309</v>
      </c>
      <c r="E7" s="58" t="s">
        <v>309</v>
      </c>
      <c r="F7" s="58" t="s">
        <v>309</v>
      </c>
      <c r="G7" s="58" t="s">
        <v>309</v>
      </c>
      <c r="H7" s="52" t="s">
        <v>200</v>
      </c>
      <c r="I7" s="45" t="s">
        <v>241</v>
      </c>
      <c r="J7" s="52" t="s">
        <v>241</v>
      </c>
      <c r="K7" s="52" t="s">
        <v>241</v>
      </c>
      <c r="L7" s="58" t="s">
        <v>309</v>
      </c>
      <c r="M7" s="65" t="s">
        <v>309</v>
      </c>
      <c r="N7" s="67" t="s">
        <v>309</v>
      </c>
      <c r="O7" s="63" t="s">
        <v>309</v>
      </c>
      <c r="P7" s="67" t="s">
        <v>309</v>
      </c>
      <c r="Q7" s="67" t="s">
        <v>309</v>
      </c>
      <c r="R7" s="67" t="s">
        <v>309</v>
      </c>
      <c r="S7" s="67" t="s">
        <v>309</v>
      </c>
      <c r="T7" s="67" t="s">
        <v>309</v>
      </c>
      <c r="U7" s="67" t="s">
        <v>309</v>
      </c>
      <c r="V7" s="67" t="s">
        <v>309</v>
      </c>
      <c r="W7" s="67" t="s">
        <v>309</v>
      </c>
      <c r="X7" s="67" t="s">
        <v>309</v>
      </c>
      <c r="Y7" s="67" t="s">
        <v>309</v>
      </c>
      <c r="Z7" s="67" t="s">
        <v>309</v>
      </c>
      <c r="AA7" s="67" t="s">
        <v>309</v>
      </c>
      <c r="AB7" s="67" t="s">
        <v>309</v>
      </c>
      <c r="AC7" s="67" t="s">
        <v>309</v>
      </c>
      <c r="AD7" s="67" t="s">
        <v>309</v>
      </c>
      <c r="AE7" s="67" t="s">
        <v>309</v>
      </c>
      <c r="AF7" s="67" t="s">
        <v>309</v>
      </c>
      <c r="AG7" s="72" t="s">
        <v>140</v>
      </c>
      <c r="AH7" s="72" t="s">
        <v>140</v>
      </c>
      <c r="AI7" s="72" t="s">
        <v>140</v>
      </c>
      <c r="AJ7" s="51" t="s">
        <v>139</v>
      </c>
      <c r="AK7" s="51" t="s">
        <v>139</v>
      </c>
      <c r="AL7" s="72" t="s">
        <v>140</v>
      </c>
      <c r="AM7" s="72" t="s">
        <v>140</v>
      </c>
      <c r="AN7" s="72" t="s">
        <v>140</v>
      </c>
      <c r="AO7" s="51" t="s">
        <v>139</v>
      </c>
      <c r="AP7" s="51" t="s">
        <v>139</v>
      </c>
      <c r="AQ7" s="67" t="s">
        <v>309</v>
      </c>
      <c r="AR7" s="67" t="s">
        <v>309</v>
      </c>
      <c r="AS7" s="67" t="s">
        <v>309</v>
      </c>
      <c r="AT7" s="67" t="s">
        <v>309</v>
      </c>
      <c r="AU7" s="67" t="s">
        <v>309</v>
      </c>
      <c r="AV7" s="67" t="s">
        <v>309</v>
      </c>
      <c r="AW7" s="60" t="s">
        <v>72</v>
      </c>
      <c r="AX7" s="60" t="s">
        <v>72</v>
      </c>
      <c r="AY7" s="60" t="s">
        <v>72</v>
      </c>
      <c r="AZ7" s="60" t="s">
        <v>72</v>
      </c>
      <c r="BA7" s="60" t="s">
        <v>72</v>
      </c>
      <c r="BB7" s="60" t="s">
        <v>72</v>
      </c>
      <c r="BC7" s="60" t="s">
        <v>72</v>
      </c>
      <c r="BD7" s="60" t="s">
        <v>72</v>
      </c>
      <c r="BE7" s="60" t="s">
        <v>72</v>
      </c>
      <c r="BF7" s="60" t="s">
        <v>72</v>
      </c>
      <c r="BG7" s="60" t="s">
        <v>72</v>
      </c>
      <c r="BH7" s="60" t="s">
        <v>72</v>
      </c>
      <c r="BI7" s="60" t="s">
        <v>72</v>
      </c>
      <c r="BJ7" s="60" t="s">
        <v>72</v>
      </c>
      <c r="BK7" s="52" t="s">
        <v>200</v>
      </c>
      <c r="BL7" s="52" t="s">
        <v>200</v>
      </c>
      <c r="BM7" s="52" t="s">
        <v>200</v>
      </c>
      <c r="BN7" s="67" t="s">
        <v>309</v>
      </c>
      <c r="BO7" s="67" t="s">
        <v>309</v>
      </c>
      <c r="BP7" s="67" t="s">
        <v>309</v>
      </c>
      <c r="BQ7" s="46" t="s">
        <v>121</v>
      </c>
      <c r="BR7" s="67" t="s">
        <v>309</v>
      </c>
      <c r="BS7" s="52" t="s">
        <v>200</v>
      </c>
      <c r="BT7" s="52" t="s">
        <v>200</v>
      </c>
      <c r="BU7" s="52" t="s">
        <v>200</v>
      </c>
      <c r="BV7" s="67" t="s">
        <v>309</v>
      </c>
      <c r="BW7" s="67" t="s">
        <v>309</v>
      </c>
      <c r="BX7" s="67" t="s">
        <v>309</v>
      </c>
      <c r="BY7" s="67" t="s">
        <v>309</v>
      </c>
      <c r="BZ7" s="67" t="s">
        <v>309</v>
      </c>
      <c r="CA7" s="67" t="s">
        <v>309</v>
      </c>
      <c r="CB7" s="67" t="s">
        <v>309</v>
      </c>
      <c r="CC7" s="67" t="s">
        <v>309</v>
      </c>
      <c r="CD7" s="67" t="s">
        <v>309</v>
      </c>
      <c r="CE7" s="67" t="s">
        <v>309</v>
      </c>
      <c r="CF7" s="67" t="s">
        <v>309</v>
      </c>
      <c r="CG7" s="67" t="s">
        <v>309</v>
      </c>
      <c r="CH7" s="67" t="s">
        <v>309</v>
      </c>
      <c r="CI7" s="67" t="s">
        <v>309</v>
      </c>
      <c r="CJ7" s="67" t="s">
        <v>309</v>
      </c>
      <c r="CK7" s="67" t="s">
        <v>309</v>
      </c>
      <c r="CL7" s="67" t="s">
        <v>309</v>
      </c>
      <c r="CM7" s="67" t="s">
        <v>309</v>
      </c>
      <c r="CN7" s="67" t="s">
        <v>309</v>
      </c>
      <c r="CO7" s="67" t="s">
        <v>309</v>
      </c>
      <c r="CP7" s="67" t="s">
        <v>309</v>
      </c>
      <c r="CQ7" s="52" t="s">
        <v>241</v>
      </c>
      <c r="CR7" s="52" t="s">
        <v>241</v>
      </c>
      <c r="CS7" s="52" t="s">
        <v>241</v>
      </c>
      <c r="CT7" s="52" t="s">
        <v>241</v>
      </c>
      <c r="CU7" s="67" t="s">
        <v>309</v>
      </c>
      <c r="CV7" s="67" t="s">
        <v>309</v>
      </c>
      <c r="CW7" s="67" t="s">
        <v>309</v>
      </c>
      <c r="CX7" s="67" t="s">
        <v>309</v>
      </c>
      <c r="CY7" s="67" t="s">
        <v>309</v>
      </c>
      <c r="CZ7" s="67" t="s">
        <v>309</v>
      </c>
      <c r="DA7" s="67" t="s">
        <v>309</v>
      </c>
      <c r="DB7" s="67" t="s">
        <v>309</v>
      </c>
      <c r="DC7" s="67" t="s">
        <v>309</v>
      </c>
      <c r="DD7" s="67" t="s">
        <v>309</v>
      </c>
      <c r="DE7" s="67" t="s">
        <v>309</v>
      </c>
      <c r="DF7" s="67" t="s">
        <v>309</v>
      </c>
      <c r="DG7" s="67" t="s">
        <v>309</v>
      </c>
      <c r="DH7" s="67" t="s">
        <v>309</v>
      </c>
      <c r="DI7" s="67" t="s">
        <v>309</v>
      </c>
      <c r="DJ7" s="67" t="s">
        <v>309</v>
      </c>
      <c r="DK7" s="67" t="s">
        <v>309</v>
      </c>
      <c r="DL7" s="67" t="s">
        <v>309</v>
      </c>
      <c r="DM7" s="67" t="s">
        <v>309</v>
      </c>
      <c r="DN7" s="67" t="s">
        <v>309</v>
      </c>
      <c r="DO7" s="52" t="s">
        <v>133</v>
      </c>
      <c r="DP7" s="52" t="s">
        <v>133</v>
      </c>
      <c r="DQ7" s="45" t="s">
        <v>121</v>
      </c>
      <c r="DR7" s="45" t="s">
        <v>121</v>
      </c>
      <c r="DS7" s="45" t="s">
        <v>121</v>
      </c>
      <c r="DT7" s="52" t="s">
        <v>133</v>
      </c>
      <c r="DU7" s="52" t="s">
        <v>133</v>
      </c>
      <c r="DV7" s="45" t="s">
        <v>121</v>
      </c>
      <c r="DW7" s="45" t="s">
        <v>121</v>
      </c>
      <c r="DX7" s="45" t="s">
        <v>121</v>
      </c>
      <c r="DY7" s="74" t="s">
        <v>131</v>
      </c>
      <c r="DZ7" s="74" t="s">
        <v>136</v>
      </c>
      <c r="EA7" s="74" t="s">
        <v>136</v>
      </c>
      <c r="EB7" s="72" t="s">
        <v>139</v>
      </c>
      <c r="EC7" s="74" t="s">
        <v>140</v>
      </c>
      <c r="ED7" s="83" t="s">
        <v>72</v>
      </c>
      <c r="EE7" s="83" t="s">
        <v>72</v>
      </c>
      <c r="EF7" s="83" t="s">
        <v>72</v>
      </c>
      <c r="EG7" s="83" t="s">
        <v>72</v>
      </c>
      <c r="EH7" s="83" t="s">
        <v>72</v>
      </c>
      <c r="EI7" s="83" t="s">
        <v>72</v>
      </c>
      <c r="EJ7" s="74" t="s">
        <v>140</v>
      </c>
      <c r="EK7" s="83" t="s">
        <v>72</v>
      </c>
      <c r="EL7" s="83" t="s">
        <v>72</v>
      </c>
      <c r="EM7" s="83" t="s">
        <v>72</v>
      </c>
      <c r="EN7" s="83" t="s">
        <v>72</v>
      </c>
      <c r="EO7" s="83" t="s">
        <v>72</v>
      </c>
      <c r="EP7" s="83" t="s">
        <v>72</v>
      </c>
      <c r="EQ7" s="81" t="s">
        <v>312</v>
      </c>
      <c r="ER7" s="81" t="s">
        <v>312</v>
      </c>
      <c r="ES7" s="81" t="s">
        <v>312</v>
      </c>
      <c r="ET7" s="81" t="s">
        <v>312</v>
      </c>
      <c r="EU7" s="45" t="s">
        <v>140</v>
      </c>
      <c r="EV7" s="45" t="s">
        <v>140</v>
      </c>
      <c r="EW7" s="103" t="s">
        <v>140</v>
      </c>
      <c r="EX7" s="103" t="s">
        <v>139</v>
      </c>
      <c r="EY7" s="45" t="s">
        <v>242</v>
      </c>
      <c r="EZ7" s="45" t="s">
        <v>242</v>
      </c>
      <c r="FA7" s="109" t="s">
        <v>140</v>
      </c>
      <c r="FB7" s="45" t="s">
        <v>140</v>
      </c>
      <c r="FC7" s="103" t="s">
        <v>140</v>
      </c>
      <c r="FD7" s="103" t="s">
        <v>139</v>
      </c>
      <c r="FE7" s="45" t="s">
        <v>242</v>
      </c>
      <c r="FF7" s="45" t="s">
        <v>242</v>
      </c>
      <c r="FG7" s="109" t="s">
        <v>140</v>
      </c>
      <c r="FH7" s="45" t="s">
        <v>140</v>
      </c>
      <c r="FI7" s="103" t="s">
        <v>140</v>
      </c>
      <c r="FJ7" s="103" t="s">
        <v>133</v>
      </c>
      <c r="FK7" s="45" t="s">
        <v>242</v>
      </c>
      <c r="FL7" s="51" t="s">
        <v>139</v>
      </c>
      <c r="FM7" s="45" t="s">
        <v>242</v>
      </c>
      <c r="FN7" s="103" t="s">
        <v>242</v>
      </c>
    </row>
    <row r="8" spans="1:170 16353:16353" x14ac:dyDescent="0.25">
      <c r="A8" s="45" t="s">
        <v>121</v>
      </c>
      <c r="B8" s="51" t="s">
        <v>121</v>
      </c>
      <c r="C8" s="45" t="s">
        <v>121</v>
      </c>
      <c r="D8" s="51" t="s">
        <v>121</v>
      </c>
      <c r="E8" s="51" t="s">
        <v>121</v>
      </c>
      <c r="F8" s="51" t="s">
        <v>121</v>
      </c>
      <c r="G8" s="51" t="s">
        <v>121</v>
      </c>
      <c r="H8" s="58" t="s">
        <v>309</v>
      </c>
      <c r="I8" s="46" t="s">
        <v>200</v>
      </c>
      <c r="J8" s="51" t="s">
        <v>200</v>
      </c>
      <c r="K8" s="51" t="s">
        <v>200</v>
      </c>
      <c r="L8" s="51" t="s">
        <v>121</v>
      </c>
      <c r="M8" s="51" t="s">
        <v>121</v>
      </c>
      <c r="N8" s="45" t="s">
        <v>121</v>
      </c>
      <c r="O8" s="69" t="s">
        <v>121</v>
      </c>
      <c r="P8" s="45" t="s">
        <v>121</v>
      </c>
      <c r="Q8" s="60" t="s">
        <v>121</v>
      </c>
      <c r="R8" s="60" t="s">
        <v>121</v>
      </c>
      <c r="S8" s="60" t="s">
        <v>121</v>
      </c>
      <c r="T8" s="60" t="s">
        <v>121</v>
      </c>
      <c r="U8" s="45" t="s">
        <v>121</v>
      </c>
      <c r="V8" s="45" t="s">
        <v>121</v>
      </c>
      <c r="W8" s="45" t="s">
        <v>121</v>
      </c>
      <c r="X8" s="45" t="s">
        <v>121</v>
      </c>
      <c r="Y8" s="45" t="s">
        <v>121</v>
      </c>
      <c r="Z8" s="45" t="s">
        <v>121</v>
      </c>
      <c r="AA8" s="45" t="s">
        <v>121</v>
      </c>
      <c r="AB8" s="45" t="s">
        <v>121</v>
      </c>
      <c r="AC8" s="60" t="s">
        <v>121</v>
      </c>
      <c r="AD8" s="60" t="s">
        <v>121</v>
      </c>
      <c r="AE8" s="60" t="s">
        <v>121</v>
      </c>
      <c r="AF8" s="46" t="s">
        <v>121</v>
      </c>
      <c r="AG8" s="51" t="s">
        <v>200</v>
      </c>
      <c r="AH8" s="51" t="s">
        <v>200</v>
      </c>
      <c r="AI8" s="51" t="s">
        <v>200</v>
      </c>
      <c r="AJ8" s="51" t="s">
        <v>200</v>
      </c>
      <c r="AK8" s="51" t="s">
        <v>200</v>
      </c>
      <c r="AL8" s="51" t="s">
        <v>200</v>
      </c>
      <c r="AM8" s="51" t="s">
        <v>200</v>
      </c>
      <c r="AN8" s="51" t="s">
        <v>200</v>
      </c>
      <c r="AO8" s="51" t="s">
        <v>200</v>
      </c>
      <c r="AP8" s="51" t="s">
        <v>200</v>
      </c>
      <c r="AQ8" s="60" t="s">
        <v>72</v>
      </c>
      <c r="AR8" s="60" t="s">
        <v>72</v>
      </c>
      <c r="AS8" s="60" t="s">
        <v>72</v>
      </c>
      <c r="AT8" s="60" t="s">
        <v>72</v>
      </c>
      <c r="AU8" s="60" t="s">
        <v>72</v>
      </c>
      <c r="AV8" s="60" t="s">
        <v>72</v>
      </c>
      <c r="AW8" s="55" t="s">
        <v>312</v>
      </c>
      <c r="AX8" s="55" t="s">
        <v>312</v>
      </c>
      <c r="AY8" s="55" t="s">
        <v>312</v>
      </c>
      <c r="AZ8" s="55" t="s">
        <v>312</v>
      </c>
      <c r="BA8" s="55" t="s">
        <v>312</v>
      </c>
      <c r="BB8" s="55" t="s">
        <v>312</v>
      </c>
      <c r="BC8" s="55" t="s">
        <v>312</v>
      </c>
      <c r="BD8" s="55" t="s">
        <v>312</v>
      </c>
      <c r="BE8" s="55" t="s">
        <v>312</v>
      </c>
      <c r="BF8" s="55" t="s">
        <v>312</v>
      </c>
      <c r="BG8" s="55" t="s">
        <v>312</v>
      </c>
      <c r="BH8" s="55" t="s">
        <v>312</v>
      </c>
      <c r="BI8" s="55" t="s">
        <v>312</v>
      </c>
      <c r="BJ8" s="55" t="s">
        <v>312</v>
      </c>
      <c r="BK8" s="67" t="s">
        <v>309</v>
      </c>
      <c r="BL8" s="67" t="s">
        <v>309</v>
      </c>
      <c r="BM8" s="67" t="s">
        <v>309</v>
      </c>
      <c r="BN8" s="45" t="s">
        <v>121</v>
      </c>
      <c r="BO8" s="45" t="s">
        <v>121</v>
      </c>
      <c r="BP8" s="45" t="s">
        <v>121</v>
      </c>
      <c r="BQ8" s="55" t="s">
        <v>312</v>
      </c>
      <c r="BR8" s="45" t="s">
        <v>121</v>
      </c>
      <c r="BS8" s="67" t="s">
        <v>309</v>
      </c>
      <c r="BT8" s="67" t="s">
        <v>309</v>
      </c>
      <c r="BU8" s="67" t="s">
        <v>309</v>
      </c>
      <c r="BV8" s="45" t="s">
        <v>121</v>
      </c>
      <c r="BW8" s="46" t="s">
        <v>121</v>
      </c>
      <c r="BX8" s="46" t="s">
        <v>121</v>
      </c>
      <c r="BY8" s="46" t="s">
        <v>121</v>
      </c>
      <c r="BZ8" s="46" t="s">
        <v>121</v>
      </c>
      <c r="CA8" s="46" t="s">
        <v>121</v>
      </c>
      <c r="CB8" s="46" t="s">
        <v>121</v>
      </c>
      <c r="CC8" s="46" t="s">
        <v>121</v>
      </c>
      <c r="CD8" s="46" t="s">
        <v>121</v>
      </c>
      <c r="CE8" s="46" t="s">
        <v>72</v>
      </c>
      <c r="CF8" s="46" t="s">
        <v>72</v>
      </c>
      <c r="CG8" s="46" t="s">
        <v>72</v>
      </c>
      <c r="CH8" s="46" t="s">
        <v>72</v>
      </c>
      <c r="CI8" s="45" t="s">
        <v>121</v>
      </c>
      <c r="CJ8" s="45" t="s">
        <v>121</v>
      </c>
      <c r="CK8" s="45" t="s">
        <v>121</v>
      </c>
      <c r="CL8" s="45" t="s">
        <v>121</v>
      </c>
      <c r="CM8" s="45" t="s">
        <v>121</v>
      </c>
      <c r="CN8" s="45" t="s">
        <v>121</v>
      </c>
      <c r="CO8" s="45" t="s">
        <v>121</v>
      </c>
      <c r="CP8" s="45" t="s">
        <v>121</v>
      </c>
      <c r="CQ8" s="51" t="s">
        <v>200</v>
      </c>
      <c r="CR8" s="51" t="s">
        <v>200</v>
      </c>
      <c r="CS8" s="51" t="s">
        <v>200</v>
      </c>
      <c r="CT8" s="51" t="s">
        <v>200</v>
      </c>
      <c r="CU8" s="45" t="s">
        <v>121</v>
      </c>
      <c r="CV8" s="45" t="s">
        <v>121</v>
      </c>
      <c r="CW8" s="45" t="s">
        <v>121</v>
      </c>
      <c r="CX8" s="45" t="s">
        <v>121</v>
      </c>
      <c r="CY8" s="45" t="s">
        <v>121</v>
      </c>
      <c r="CZ8" s="60" t="s">
        <v>121</v>
      </c>
      <c r="DA8" s="60" t="s">
        <v>121</v>
      </c>
      <c r="DB8" s="60" t="s">
        <v>121</v>
      </c>
      <c r="DC8" s="60" t="s">
        <v>121</v>
      </c>
      <c r="DD8" s="45" t="s">
        <v>121</v>
      </c>
      <c r="DE8" s="45" t="s">
        <v>121</v>
      </c>
      <c r="DF8" s="45" t="s">
        <v>121</v>
      </c>
      <c r="DG8" s="45" t="s">
        <v>121</v>
      </c>
      <c r="DH8" s="45" t="s">
        <v>121</v>
      </c>
      <c r="DI8" s="45" t="s">
        <v>121</v>
      </c>
      <c r="DJ8" s="45" t="s">
        <v>121</v>
      </c>
      <c r="DK8" s="45" t="s">
        <v>121</v>
      </c>
      <c r="DL8" s="60" t="s">
        <v>121</v>
      </c>
      <c r="DM8" s="60" t="s">
        <v>121</v>
      </c>
      <c r="DN8" s="60" t="s">
        <v>121</v>
      </c>
      <c r="DO8" s="67" t="s">
        <v>309</v>
      </c>
      <c r="DP8" s="67" t="s">
        <v>309</v>
      </c>
      <c r="DQ8" s="45" t="s">
        <v>120</v>
      </c>
      <c r="DR8" s="45" t="s">
        <v>120</v>
      </c>
      <c r="DS8" s="45" t="s">
        <v>120</v>
      </c>
      <c r="DT8" s="67" t="s">
        <v>309</v>
      </c>
      <c r="DU8" s="67" t="s">
        <v>309</v>
      </c>
      <c r="DV8" s="45" t="s">
        <v>120</v>
      </c>
      <c r="DW8" s="45" t="s">
        <v>120</v>
      </c>
      <c r="DX8" s="45" t="s">
        <v>120</v>
      </c>
      <c r="DY8" s="79" t="s">
        <v>309</v>
      </c>
      <c r="DZ8" s="79" t="s">
        <v>309</v>
      </c>
      <c r="EA8" s="79" t="s">
        <v>309</v>
      </c>
      <c r="EB8" s="72" t="s">
        <v>127</v>
      </c>
      <c r="EC8" s="79" t="s">
        <v>309</v>
      </c>
      <c r="ED8" s="81" t="s">
        <v>312</v>
      </c>
      <c r="EE8" s="81" t="s">
        <v>312</v>
      </c>
      <c r="EF8" s="81" t="s">
        <v>312</v>
      </c>
      <c r="EG8" s="81" t="s">
        <v>312</v>
      </c>
      <c r="EH8" s="81" t="s">
        <v>312</v>
      </c>
      <c r="EI8" s="81" t="s">
        <v>312</v>
      </c>
      <c r="EJ8" s="79" t="s">
        <v>309</v>
      </c>
      <c r="EK8" s="81" t="s">
        <v>312</v>
      </c>
      <c r="EL8" s="81" t="s">
        <v>312</v>
      </c>
      <c r="EM8" s="81" t="s">
        <v>312</v>
      </c>
      <c r="EN8" s="81" t="s">
        <v>312</v>
      </c>
      <c r="EO8" s="81" t="s">
        <v>312</v>
      </c>
      <c r="EP8" s="81" t="s">
        <v>312</v>
      </c>
      <c r="EQ8" s="74" t="s">
        <v>72</v>
      </c>
      <c r="ER8" s="74" t="s">
        <v>72</v>
      </c>
      <c r="ES8" s="74" t="s">
        <v>72</v>
      </c>
      <c r="ET8" s="74" t="s">
        <v>72</v>
      </c>
      <c r="EU8" s="45" t="s">
        <v>131</v>
      </c>
      <c r="EV8" s="45" t="s">
        <v>131</v>
      </c>
      <c r="EW8" s="103" t="s">
        <v>131</v>
      </c>
      <c r="EX8" s="104" t="s">
        <v>309</v>
      </c>
      <c r="EY8" s="45" t="s">
        <v>243</v>
      </c>
      <c r="EZ8" s="45" t="s">
        <v>243</v>
      </c>
      <c r="FA8" s="109" t="s">
        <v>131</v>
      </c>
      <c r="FB8" s="45" t="s">
        <v>131</v>
      </c>
      <c r="FC8" s="103" t="s">
        <v>131</v>
      </c>
      <c r="FD8" s="104" t="s">
        <v>309</v>
      </c>
      <c r="FE8" s="45" t="s">
        <v>243</v>
      </c>
      <c r="FF8" s="45" t="s">
        <v>243</v>
      </c>
      <c r="FG8" s="109" t="s">
        <v>131</v>
      </c>
      <c r="FH8" s="45" t="s">
        <v>131</v>
      </c>
      <c r="FI8" s="103" t="s">
        <v>131</v>
      </c>
      <c r="FJ8" s="104" t="s">
        <v>309</v>
      </c>
      <c r="FK8" s="45" t="s">
        <v>243</v>
      </c>
      <c r="FL8" s="65" t="s">
        <v>309</v>
      </c>
      <c r="FM8" s="45" t="s">
        <v>243</v>
      </c>
      <c r="FN8" s="103" t="s">
        <v>243</v>
      </c>
    </row>
    <row r="9" spans="1:170 16353:16353" x14ac:dyDescent="0.25">
      <c r="A9" s="45" t="s">
        <v>138</v>
      </c>
      <c r="B9" s="51" t="s">
        <v>138</v>
      </c>
      <c r="C9" s="45" t="s">
        <v>138</v>
      </c>
      <c r="D9" s="51" t="s">
        <v>135</v>
      </c>
      <c r="E9" s="51" t="s">
        <v>135</v>
      </c>
      <c r="F9" s="51" t="s">
        <v>135</v>
      </c>
      <c r="G9" s="51" t="s">
        <v>135</v>
      </c>
      <c r="H9" s="51" t="s">
        <v>121</v>
      </c>
      <c r="I9" s="59" t="s">
        <v>309</v>
      </c>
      <c r="J9" s="58" t="s">
        <v>309</v>
      </c>
      <c r="K9" s="58" t="s">
        <v>309</v>
      </c>
      <c r="L9" s="51" t="s">
        <v>138</v>
      </c>
      <c r="M9" s="51" t="s">
        <v>138</v>
      </c>
      <c r="N9" s="45" t="s">
        <v>135</v>
      </c>
      <c r="O9" s="69" t="s">
        <v>135</v>
      </c>
      <c r="P9" s="45" t="s">
        <v>135</v>
      </c>
      <c r="Q9" s="68" t="s">
        <v>200</v>
      </c>
      <c r="R9" s="68" t="s">
        <v>200</v>
      </c>
      <c r="S9" s="68" t="s">
        <v>200</v>
      </c>
      <c r="T9" s="68" t="s">
        <v>200</v>
      </c>
      <c r="U9" s="45" t="s">
        <v>138</v>
      </c>
      <c r="V9" s="45" t="s">
        <v>135</v>
      </c>
      <c r="W9" s="45" t="s">
        <v>135</v>
      </c>
      <c r="X9" s="45" t="s">
        <v>138</v>
      </c>
      <c r="Y9" s="45" t="s">
        <v>138</v>
      </c>
      <c r="Z9" s="45" t="s">
        <v>138</v>
      </c>
      <c r="AA9" s="45" t="s">
        <v>135</v>
      </c>
      <c r="AB9" s="45" t="s">
        <v>135</v>
      </c>
      <c r="AC9" s="68" t="s">
        <v>200</v>
      </c>
      <c r="AD9" s="68" t="s">
        <v>200</v>
      </c>
      <c r="AE9" s="68" t="s">
        <v>200</v>
      </c>
      <c r="AF9" s="68" t="s">
        <v>200</v>
      </c>
      <c r="AG9" s="67" t="s">
        <v>309</v>
      </c>
      <c r="AH9" s="67" t="s">
        <v>309</v>
      </c>
      <c r="AI9" s="67" t="s">
        <v>309</v>
      </c>
      <c r="AJ9" s="67" t="s">
        <v>309</v>
      </c>
      <c r="AK9" s="67" t="s">
        <v>309</v>
      </c>
      <c r="AL9" s="67" t="s">
        <v>309</v>
      </c>
      <c r="AM9" s="67" t="s">
        <v>309</v>
      </c>
      <c r="AN9" s="67" t="s">
        <v>309</v>
      </c>
      <c r="AO9" s="67" t="s">
        <v>309</v>
      </c>
      <c r="AP9" s="67" t="s">
        <v>309</v>
      </c>
      <c r="AQ9" s="55" t="s">
        <v>312</v>
      </c>
      <c r="AR9" s="55" t="s">
        <v>312</v>
      </c>
      <c r="AS9" s="55" t="s">
        <v>312</v>
      </c>
      <c r="AT9" s="55" t="s">
        <v>312</v>
      </c>
      <c r="AU9" s="55" t="s">
        <v>312</v>
      </c>
      <c r="AV9" s="55" t="s">
        <v>312</v>
      </c>
      <c r="AW9" s="60" t="s">
        <v>72</v>
      </c>
      <c r="AX9" s="60" t="s">
        <v>72</v>
      </c>
      <c r="AY9" s="60" t="s">
        <v>72</v>
      </c>
      <c r="AZ9" s="60" t="s">
        <v>72</v>
      </c>
      <c r="BA9" s="60" t="s">
        <v>72</v>
      </c>
      <c r="BB9" s="60" t="s">
        <v>72</v>
      </c>
      <c r="BC9" s="60" t="s">
        <v>72</v>
      </c>
      <c r="BD9" s="60" t="s">
        <v>72</v>
      </c>
      <c r="BE9" s="60" t="s">
        <v>72</v>
      </c>
      <c r="BF9" s="60" t="s">
        <v>72</v>
      </c>
      <c r="BG9" s="60" t="s">
        <v>72</v>
      </c>
      <c r="BH9" s="60" t="s">
        <v>72</v>
      </c>
      <c r="BI9" s="60" t="s">
        <v>72</v>
      </c>
      <c r="BJ9" s="60" t="s">
        <v>72</v>
      </c>
      <c r="BK9" s="51" t="s">
        <v>121</v>
      </c>
      <c r="BL9" s="51" t="s">
        <v>121</v>
      </c>
      <c r="BM9" s="51" t="s">
        <v>121</v>
      </c>
      <c r="BN9" s="45" t="s">
        <v>129</v>
      </c>
      <c r="BO9" s="55" t="s">
        <v>312</v>
      </c>
      <c r="BP9" s="45" t="s">
        <v>129</v>
      </c>
      <c r="BQ9" s="46">
        <v>36</v>
      </c>
      <c r="BR9" s="45" t="s">
        <v>129</v>
      </c>
      <c r="BS9" s="45" t="s">
        <v>121</v>
      </c>
      <c r="BT9" s="45" t="s">
        <v>121</v>
      </c>
      <c r="BU9" s="51" t="s">
        <v>121</v>
      </c>
      <c r="BV9" s="62" t="s">
        <v>129</v>
      </c>
      <c r="BW9" s="55" t="s">
        <v>312</v>
      </c>
      <c r="BX9" s="55" t="s">
        <v>312</v>
      </c>
      <c r="BY9" s="55" t="s">
        <v>312</v>
      </c>
      <c r="BZ9" s="55" t="s">
        <v>312</v>
      </c>
      <c r="CA9" s="55" t="s">
        <v>312</v>
      </c>
      <c r="CB9" s="55" t="s">
        <v>312</v>
      </c>
      <c r="CC9" s="55" t="s">
        <v>312</v>
      </c>
      <c r="CD9" s="55" t="s">
        <v>312</v>
      </c>
      <c r="CE9" s="55" t="s">
        <v>340</v>
      </c>
      <c r="CF9" s="55" t="s">
        <v>340</v>
      </c>
      <c r="CG9" s="55" t="s">
        <v>340</v>
      </c>
      <c r="CH9" s="55" t="s">
        <v>340</v>
      </c>
      <c r="CI9" s="45" t="s">
        <v>138</v>
      </c>
      <c r="CJ9" s="45" t="s">
        <v>138</v>
      </c>
      <c r="CK9" s="45" t="s">
        <v>138</v>
      </c>
      <c r="CL9" s="45" t="s">
        <v>138</v>
      </c>
      <c r="CM9" s="45" t="s">
        <v>138</v>
      </c>
      <c r="CN9" s="45" t="s">
        <v>138</v>
      </c>
      <c r="CO9" s="45" t="s">
        <v>138</v>
      </c>
      <c r="CP9" s="45" t="s">
        <v>138</v>
      </c>
      <c r="CQ9" s="67" t="s">
        <v>309</v>
      </c>
      <c r="CR9" s="67" t="s">
        <v>309</v>
      </c>
      <c r="CS9" s="67" t="s">
        <v>309</v>
      </c>
      <c r="CT9" s="67" t="s">
        <v>309</v>
      </c>
      <c r="CU9" s="45" t="s">
        <v>138</v>
      </c>
      <c r="CV9" s="45" t="s">
        <v>138</v>
      </c>
      <c r="CW9" s="45" t="s">
        <v>138</v>
      </c>
      <c r="CX9" s="45" t="s">
        <v>138</v>
      </c>
      <c r="CY9" s="45" t="s">
        <v>138</v>
      </c>
      <c r="CZ9" s="55" t="s">
        <v>312</v>
      </c>
      <c r="DA9" s="55" t="s">
        <v>312</v>
      </c>
      <c r="DB9" s="55" t="s">
        <v>312</v>
      </c>
      <c r="DC9" s="55" t="s">
        <v>312</v>
      </c>
      <c r="DD9" s="45" t="s">
        <v>138</v>
      </c>
      <c r="DE9" s="45" t="s">
        <v>138</v>
      </c>
      <c r="DF9" s="45" t="s">
        <v>138</v>
      </c>
      <c r="DG9" s="45" t="s">
        <v>138</v>
      </c>
      <c r="DH9" s="45" t="s">
        <v>138</v>
      </c>
      <c r="DI9" s="45" t="s">
        <v>138</v>
      </c>
      <c r="DJ9" s="45" t="s">
        <v>138</v>
      </c>
      <c r="DK9" s="45" t="s">
        <v>138</v>
      </c>
      <c r="DL9" s="55" t="s">
        <v>312</v>
      </c>
      <c r="DM9" s="55" t="s">
        <v>312</v>
      </c>
      <c r="DN9" s="55" t="s">
        <v>312</v>
      </c>
      <c r="DO9" s="51" t="s">
        <v>121</v>
      </c>
      <c r="DP9" s="51" t="s">
        <v>121</v>
      </c>
      <c r="DQ9" s="45" t="s">
        <v>126</v>
      </c>
      <c r="DR9" s="45" t="s">
        <v>126</v>
      </c>
      <c r="DS9" s="45" t="s">
        <v>126</v>
      </c>
      <c r="DT9" s="51" t="s">
        <v>121</v>
      </c>
      <c r="DU9" s="51" t="s">
        <v>121</v>
      </c>
      <c r="DV9" s="45" t="s">
        <v>126</v>
      </c>
      <c r="DW9" s="45" t="s">
        <v>126</v>
      </c>
      <c r="DX9" s="45" t="s">
        <v>126</v>
      </c>
      <c r="DY9" s="47" t="s">
        <v>120</v>
      </c>
      <c r="DZ9" s="74" t="s">
        <v>120</v>
      </c>
      <c r="EA9" s="74" t="s">
        <v>120</v>
      </c>
      <c r="EB9" s="74" t="s">
        <v>142</v>
      </c>
      <c r="EC9" s="48" t="s">
        <v>72</v>
      </c>
      <c r="ED9" s="74" t="s">
        <v>72</v>
      </c>
      <c r="EE9" s="74" t="s">
        <v>72</v>
      </c>
      <c r="EF9" s="74" t="s">
        <v>72</v>
      </c>
      <c r="EG9" s="74" t="s">
        <v>72</v>
      </c>
      <c r="EH9" s="74" t="s">
        <v>72</v>
      </c>
      <c r="EI9" s="74" t="s">
        <v>72</v>
      </c>
      <c r="EJ9" s="84" t="s">
        <v>72</v>
      </c>
      <c r="EK9" s="74" t="s">
        <v>72</v>
      </c>
      <c r="EL9" s="74" t="s">
        <v>72</v>
      </c>
      <c r="EM9" s="74" t="s">
        <v>72</v>
      </c>
      <c r="EN9" s="74" t="s">
        <v>72</v>
      </c>
      <c r="EO9" s="74" t="s">
        <v>72</v>
      </c>
      <c r="EP9" s="74" t="s">
        <v>72</v>
      </c>
      <c r="EQ9" s="82" t="s">
        <v>313</v>
      </c>
      <c r="ER9" s="82" t="s">
        <v>313</v>
      </c>
      <c r="ES9" s="82" t="s">
        <v>313</v>
      </c>
      <c r="ET9" s="82" t="s">
        <v>313</v>
      </c>
      <c r="EU9" s="45" t="s">
        <v>133</v>
      </c>
      <c r="EV9" s="45" t="s">
        <v>133</v>
      </c>
      <c r="EW9" s="103" t="s">
        <v>133</v>
      </c>
      <c r="EX9" s="103" t="s">
        <v>242</v>
      </c>
      <c r="EY9" s="98" t="s">
        <v>312</v>
      </c>
      <c r="EZ9" s="98" t="s">
        <v>312</v>
      </c>
      <c r="FA9" s="109" t="s">
        <v>133</v>
      </c>
      <c r="FB9" s="45" t="s">
        <v>133</v>
      </c>
      <c r="FC9" s="103" t="s">
        <v>133</v>
      </c>
      <c r="FD9" s="103" t="s">
        <v>242</v>
      </c>
      <c r="FE9" s="98" t="s">
        <v>312</v>
      </c>
      <c r="FF9" s="98" t="s">
        <v>312</v>
      </c>
      <c r="FG9" s="109" t="s">
        <v>133</v>
      </c>
      <c r="FH9" s="45" t="s">
        <v>133</v>
      </c>
      <c r="FI9" s="103" t="s">
        <v>133</v>
      </c>
      <c r="FJ9" s="103" t="s">
        <v>242</v>
      </c>
      <c r="FK9" s="45" t="s">
        <v>124</v>
      </c>
      <c r="FL9" s="51" t="s">
        <v>242</v>
      </c>
      <c r="FM9" s="45" t="s">
        <v>124</v>
      </c>
      <c r="FN9" s="103" t="s">
        <v>124</v>
      </c>
    </row>
    <row r="10" spans="1:170 16353:16353" x14ac:dyDescent="0.25">
      <c r="A10" s="45" t="s">
        <v>120</v>
      </c>
      <c r="B10" s="51" t="s">
        <v>120</v>
      </c>
      <c r="C10" s="45" t="s">
        <v>120</v>
      </c>
      <c r="D10" s="51" t="s">
        <v>138</v>
      </c>
      <c r="E10" s="51" t="s">
        <v>138</v>
      </c>
      <c r="F10" s="51" t="s">
        <v>138</v>
      </c>
      <c r="G10" s="51" t="s">
        <v>126</v>
      </c>
      <c r="H10" s="51" t="s">
        <v>135</v>
      </c>
      <c r="I10" s="45" t="s">
        <v>121</v>
      </c>
      <c r="J10" s="51" t="s">
        <v>121</v>
      </c>
      <c r="K10" s="51" t="s">
        <v>121</v>
      </c>
      <c r="L10" s="51" t="s">
        <v>120</v>
      </c>
      <c r="M10" s="51" t="s">
        <v>120</v>
      </c>
      <c r="N10" s="45" t="s">
        <v>138</v>
      </c>
      <c r="O10" s="69" t="s">
        <v>138</v>
      </c>
      <c r="P10" s="45" t="s">
        <v>138</v>
      </c>
      <c r="Q10" s="55" t="s">
        <v>312</v>
      </c>
      <c r="R10" s="55" t="s">
        <v>312</v>
      </c>
      <c r="S10" s="55" t="s">
        <v>312</v>
      </c>
      <c r="T10" s="55" t="s">
        <v>312</v>
      </c>
      <c r="U10" s="45" t="s">
        <v>120</v>
      </c>
      <c r="V10" s="45" t="s">
        <v>138</v>
      </c>
      <c r="W10" s="45" t="s">
        <v>138</v>
      </c>
      <c r="X10" s="45" t="s">
        <v>120</v>
      </c>
      <c r="Y10" s="45" t="s">
        <v>120</v>
      </c>
      <c r="Z10" s="45" t="s">
        <v>120</v>
      </c>
      <c r="AA10" s="45" t="s">
        <v>138</v>
      </c>
      <c r="AB10" s="45" t="s">
        <v>138</v>
      </c>
      <c r="AC10" s="55" t="s">
        <v>312</v>
      </c>
      <c r="AD10" s="55" t="s">
        <v>312</v>
      </c>
      <c r="AE10" s="55" t="s">
        <v>312</v>
      </c>
      <c r="AF10" s="55" t="s">
        <v>312</v>
      </c>
      <c r="AG10" s="45" t="s">
        <v>242</v>
      </c>
      <c r="AH10" s="45" t="s">
        <v>242</v>
      </c>
      <c r="AI10" s="45" t="s">
        <v>242</v>
      </c>
      <c r="AJ10" s="51" t="s">
        <v>242</v>
      </c>
      <c r="AK10" s="51" t="s">
        <v>242</v>
      </c>
      <c r="AL10" s="45" t="s">
        <v>242</v>
      </c>
      <c r="AM10" s="45" t="s">
        <v>242</v>
      </c>
      <c r="AN10" s="45" t="s">
        <v>242</v>
      </c>
      <c r="AO10" s="51" t="s">
        <v>242</v>
      </c>
      <c r="AP10" s="51" t="s">
        <v>242</v>
      </c>
      <c r="AQ10" s="60" t="s">
        <v>72</v>
      </c>
      <c r="AR10" s="60" t="s">
        <v>72</v>
      </c>
      <c r="AS10" s="60" t="s">
        <v>72</v>
      </c>
      <c r="AT10" s="60" t="s">
        <v>72</v>
      </c>
      <c r="AU10" s="60" t="s">
        <v>72</v>
      </c>
      <c r="AV10" s="60" t="s">
        <v>72</v>
      </c>
      <c r="AW10" s="77" t="s">
        <v>313</v>
      </c>
      <c r="AX10" s="77" t="s">
        <v>313</v>
      </c>
      <c r="AY10" s="77" t="s">
        <v>313</v>
      </c>
      <c r="AZ10" s="77" t="s">
        <v>313</v>
      </c>
      <c r="BA10" s="77" t="s">
        <v>313</v>
      </c>
      <c r="BB10" s="77" t="s">
        <v>313</v>
      </c>
      <c r="BC10" s="77" t="s">
        <v>313</v>
      </c>
      <c r="BD10" s="77" t="s">
        <v>313</v>
      </c>
      <c r="BE10" s="77" t="s">
        <v>313</v>
      </c>
      <c r="BF10" s="77" t="s">
        <v>313</v>
      </c>
      <c r="BG10" s="77" t="s">
        <v>313</v>
      </c>
      <c r="BH10" s="77" t="s">
        <v>313</v>
      </c>
      <c r="BI10" s="77" t="s">
        <v>313</v>
      </c>
      <c r="BJ10" s="77" t="s">
        <v>313</v>
      </c>
      <c r="BK10" s="51" t="s">
        <v>129</v>
      </c>
      <c r="BL10" s="51" t="s">
        <v>129</v>
      </c>
      <c r="BM10" s="51" t="s">
        <v>129</v>
      </c>
      <c r="BN10" s="60" t="s">
        <v>125</v>
      </c>
      <c r="BO10" s="46">
        <v>36</v>
      </c>
      <c r="BP10" s="60" t="s">
        <v>125</v>
      </c>
      <c r="BQ10" s="77" t="s">
        <v>313</v>
      </c>
      <c r="BR10" s="60" t="s">
        <v>125</v>
      </c>
      <c r="BS10" s="45" t="s">
        <v>129</v>
      </c>
      <c r="BT10" s="45" t="s">
        <v>129</v>
      </c>
      <c r="BU10" s="51" t="s">
        <v>129</v>
      </c>
      <c r="BV10" s="45" t="s">
        <v>125</v>
      </c>
      <c r="BW10" s="45">
        <v>9</v>
      </c>
      <c r="BX10" s="45">
        <v>9</v>
      </c>
      <c r="BY10" s="45">
        <v>9</v>
      </c>
      <c r="BZ10" s="45">
        <v>9</v>
      </c>
      <c r="CA10" s="45">
        <v>9</v>
      </c>
      <c r="CB10" s="45">
        <v>9</v>
      </c>
      <c r="CC10" s="45">
        <v>9</v>
      </c>
      <c r="CD10" s="45">
        <v>9</v>
      </c>
      <c r="CE10" s="46">
        <v>9</v>
      </c>
      <c r="CF10" s="46">
        <v>9</v>
      </c>
      <c r="CG10" s="46">
        <v>9</v>
      </c>
      <c r="CH10" s="46">
        <v>9</v>
      </c>
      <c r="CI10" s="45" t="s">
        <v>120</v>
      </c>
      <c r="CJ10" s="45" t="s">
        <v>120</v>
      </c>
      <c r="CK10" s="45" t="s">
        <v>120</v>
      </c>
      <c r="CL10" s="45" t="s">
        <v>120</v>
      </c>
      <c r="CM10" s="45" t="s">
        <v>120</v>
      </c>
      <c r="CN10" s="45" t="s">
        <v>120</v>
      </c>
      <c r="CO10" s="45" t="s">
        <v>120</v>
      </c>
      <c r="CP10" s="45" t="s">
        <v>120</v>
      </c>
      <c r="CQ10" s="51" t="s">
        <v>121</v>
      </c>
      <c r="CR10" s="51" t="s">
        <v>121</v>
      </c>
      <c r="CS10" s="51" t="s">
        <v>121</v>
      </c>
      <c r="CT10" s="51" t="s">
        <v>121</v>
      </c>
      <c r="CU10" s="45" t="s">
        <v>120</v>
      </c>
      <c r="CV10" s="45" t="s">
        <v>120</v>
      </c>
      <c r="CW10" s="45" t="s">
        <v>120</v>
      </c>
      <c r="CX10" s="45" t="s">
        <v>120</v>
      </c>
      <c r="CY10" s="45" t="s">
        <v>120</v>
      </c>
      <c r="CZ10" s="45">
        <v>18</v>
      </c>
      <c r="DA10" s="45">
        <v>18</v>
      </c>
      <c r="DB10" s="45">
        <v>18</v>
      </c>
      <c r="DC10" s="45">
        <v>18</v>
      </c>
      <c r="DD10" s="45" t="s">
        <v>120</v>
      </c>
      <c r="DE10" s="45" t="s">
        <v>120</v>
      </c>
      <c r="DF10" s="45" t="s">
        <v>120</v>
      </c>
      <c r="DG10" s="45" t="s">
        <v>120</v>
      </c>
      <c r="DH10" s="45" t="s">
        <v>120</v>
      </c>
      <c r="DI10" s="45" t="s">
        <v>120</v>
      </c>
      <c r="DJ10" s="45" t="s">
        <v>120</v>
      </c>
      <c r="DK10" s="45" t="s">
        <v>120</v>
      </c>
      <c r="DL10" s="45">
        <v>18</v>
      </c>
      <c r="DM10" s="45">
        <v>18</v>
      </c>
      <c r="DN10" s="45">
        <v>18</v>
      </c>
      <c r="DO10" s="51" t="s">
        <v>120</v>
      </c>
      <c r="DP10" s="51" t="s">
        <v>120</v>
      </c>
      <c r="DQ10" s="60" t="s">
        <v>123</v>
      </c>
      <c r="DR10" s="60" t="s">
        <v>123</v>
      </c>
      <c r="DS10" s="60" t="s">
        <v>123</v>
      </c>
      <c r="DT10" s="51" t="s">
        <v>120</v>
      </c>
      <c r="DU10" s="51" t="s">
        <v>120</v>
      </c>
      <c r="DV10" s="60" t="s">
        <v>123</v>
      </c>
      <c r="DW10" s="60" t="s">
        <v>123</v>
      </c>
      <c r="DX10" s="60" t="s">
        <v>123</v>
      </c>
      <c r="DY10" s="81" t="s">
        <v>312</v>
      </c>
      <c r="DZ10" s="81" t="s">
        <v>312</v>
      </c>
      <c r="EA10" s="81" t="s">
        <v>312</v>
      </c>
      <c r="EB10" s="79" t="s">
        <v>309</v>
      </c>
      <c r="EC10" s="81" t="s">
        <v>312</v>
      </c>
      <c r="ED10" s="82" t="s">
        <v>313</v>
      </c>
      <c r="EE10" s="82" t="s">
        <v>313</v>
      </c>
      <c r="EF10" s="82" t="s">
        <v>313</v>
      </c>
      <c r="EG10" s="82" t="s">
        <v>313</v>
      </c>
      <c r="EH10" s="82" t="s">
        <v>313</v>
      </c>
      <c r="EI10" s="82" t="s">
        <v>313</v>
      </c>
      <c r="EJ10" s="80" t="s">
        <v>312</v>
      </c>
      <c r="EK10" s="82" t="s">
        <v>313</v>
      </c>
      <c r="EL10" s="82" t="s">
        <v>313</v>
      </c>
      <c r="EM10" s="82" t="s">
        <v>313</v>
      </c>
      <c r="EN10" s="82" t="s">
        <v>313</v>
      </c>
      <c r="EO10" s="82" t="s">
        <v>313</v>
      </c>
      <c r="EP10" s="82" t="s">
        <v>313</v>
      </c>
      <c r="EQ10" s="74" t="s">
        <v>72</v>
      </c>
      <c r="ER10" s="74" t="s">
        <v>72</v>
      </c>
      <c r="ES10" s="74" t="s">
        <v>72</v>
      </c>
      <c r="ET10" s="74" t="s">
        <v>72</v>
      </c>
      <c r="EU10" s="97" t="s">
        <v>309</v>
      </c>
      <c r="EV10" s="97" t="s">
        <v>309</v>
      </c>
      <c r="EW10" s="104" t="s">
        <v>309</v>
      </c>
      <c r="EX10" s="103" t="s">
        <v>243</v>
      </c>
      <c r="EY10" s="45" t="s">
        <v>72</v>
      </c>
      <c r="EZ10" s="45" t="s">
        <v>72</v>
      </c>
      <c r="FA10" s="110" t="s">
        <v>309</v>
      </c>
      <c r="FB10" s="97" t="s">
        <v>309</v>
      </c>
      <c r="FC10" s="104" t="s">
        <v>309</v>
      </c>
      <c r="FD10" s="103" t="s">
        <v>243</v>
      </c>
      <c r="FE10" s="45" t="s">
        <v>72</v>
      </c>
      <c r="FF10" s="45" t="s">
        <v>72</v>
      </c>
      <c r="FG10" s="110" t="s">
        <v>309</v>
      </c>
      <c r="FH10" s="97" t="s">
        <v>309</v>
      </c>
      <c r="FI10" s="104" t="s">
        <v>309</v>
      </c>
      <c r="FJ10" s="103" t="s">
        <v>243</v>
      </c>
      <c r="FK10" s="45" t="s">
        <v>121</v>
      </c>
      <c r="FL10" s="51" t="s">
        <v>243</v>
      </c>
      <c r="FM10" s="45" t="s">
        <v>121</v>
      </c>
      <c r="FN10" s="103" t="s">
        <v>121</v>
      </c>
    </row>
    <row r="11" spans="1:170 16353:16353" x14ac:dyDescent="0.25">
      <c r="A11" s="45" t="s">
        <v>126</v>
      </c>
      <c r="B11" s="51" t="s">
        <v>126</v>
      </c>
      <c r="C11" s="45" t="s">
        <v>126</v>
      </c>
      <c r="D11" s="51" t="s">
        <v>120</v>
      </c>
      <c r="E11" s="51" t="s">
        <v>120</v>
      </c>
      <c r="F11" s="51" t="s">
        <v>120</v>
      </c>
      <c r="G11" s="52" t="s">
        <v>123</v>
      </c>
      <c r="H11" s="51" t="s">
        <v>126</v>
      </c>
      <c r="I11" s="45" t="s">
        <v>135</v>
      </c>
      <c r="J11" s="51" t="s">
        <v>135</v>
      </c>
      <c r="K11" s="51" t="s">
        <v>135</v>
      </c>
      <c r="L11" s="51" t="s">
        <v>126</v>
      </c>
      <c r="M11" s="51" t="s">
        <v>126</v>
      </c>
      <c r="N11" s="45" t="s">
        <v>120</v>
      </c>
      <c r="O11" s="69" t="s">
        <v>120</v>
      </c>
      <c r="P11" s="45" t="s">
        <v>120</v>
      </c>
      <c r="Q11" s="45">
        <v>18</v>
      </c>
      <c r="R11" s="45">
        <v>18</v>
      </c>
      <c r="S11" s="45">
        <v>18</v>
      </c>
      <c r="T11" s="45">
        <v>18</v>
      </c>
      <c r="U11" s="45" t="s">
        <v>126</v>
      </c>
      <c r="V11" s="45" t="s">
        <v>120</v>
      </c>
      <c r="W11" s="45" t="s">
        <v>120</v>
      </c>
      <c r="X11" s="45" t="s">
        <v>126</v>
      </c>
      <c r="Y11" s="45" t="s">
        <v>126</v>
      </c>
      <c r="Z11" s="45" t="s">
        <v>126</v>
      </c>
      <c r="AA11" s="45" t="s">
        <v>120</v>
      </c>
      <c r="AB11" s="45" t="s">
        <v>120</v>
      </c>
      <c r="AC11" s="45">
        <v>18</v>
      </c>
      <c r="AD11" s="45">
        <v>18</v>
      </c>
      <c r="AE11" s="45">
        <v>18</v>
      </c>
      <c r="AF11" s="45">
        <v>18</v>
      </c>
      <c r="AG11" s="60" t="s">
        <v>243</v>
      </c>
      <c r="AH11" s="60" t="s">
        <v>243</v>
      </c>
      <c r="AI11" s="60" t="s">
        <v>243</v>
      </c>
      <c r="AJ11" s="51" t="s">
        <v>243</v>
      </c>
      <c r="AK11" s="51" t="s">
        <v>243</v>
      </c>
      <c r="AL11" s="60" t="s">
        <v>243</v>
      </c>
      <c r="AM11" s="60" t="s">
        <v>243</v>
      </c>
      <c r="AN11" s="60" t="s">
        <v>243</v>
      </c>
      <c r="AO11" s="51" t="s">
        <v>243</v>
      </c>
      <c r="AP11" s="51" t="s">
        <v>243</v>
      </c>
      <c r="AQ11" s="77" t="s">
        <v>313</v>
      </c>
      <c r="AR11" s="77" t="s">
        <v>313</v>
      </c>
      <c r="AS11" s="77" t="s">
        <v>313</v>
      </c>
      <c r="AT11" s="77" t="s">
        <v>313</v>
      </c>
      <c r="AU11" s="77" t="s">
        <v>313</v>
      </c>
      <c r="AV11" s="77" t="s">
        <v>313</v>
      </c>
      <c r="AW11" s="47" t="s">
        <v>22</v>
      </c>
      <c r="AX11" s="47" t="s">
        <v>22</v>
      </c>
      <c r="AY11" s="47" t="s">
        <v>22</v>
      </c>
      <c r="AZ11" s="47" t="s">
        <v>22</v>
      </c>
      <c r="BA11" s="47" t="s">
        <v>22</v>
      </c>
      <c r="BB11" s="47" t="s">
        <v>22</v>
      </c>
      <c r="BC11" s="47" t="s">
        <v>22</v>
      </c>
      <c r="BD11" s="47" t="s">
        <v>22</v>
      </c>
      <c r="BE11" s="47" t="s">
        <v>22</v>
      </c>
      <c r="BF11" s="47" t="s">
        <v>22</v>
      </c>
      <c r="BG11" s="47" t="s">
        <v>22</v>
      </c>
      <c r="BH11" s="47" t="s">
        <v>22</v>
      </c>
      <c r="BI11" s="47" t="s">
        <v>22</v>
      </c>
      <c r="BJ11" s="47" t="s">
        <v>22</v>
      </c>
      <c r="BK11" s="52" t="s">
        <v>125</v>
      </c>
      <c r="BL11" s="52" t="s">
        <v>125</v>
      </c>
      <c r="BM11" s="52" t="s">
        <v>125</v>
      </c>
      <c r="BN11" s="55" t="s">
        <v>312</v>
      </c>
      <c r="BO11" s="77" t="s">
        <v>313</v>
      </c>
      <c r="BP11" s="55" t="s">
        <v>312</v>
      </c>
      <c r="BQ11" s="46" t="s">
        <v>22</v>
      </c>
      <c r="BR11" s="55" t="s">
        <v>312</v>
      </c>
      <c r="BS11" s="60" t="s">
        <v>125</v>
      </c>
      <c r="BT11" s="60" t="s">
        <v>125</v>
      </c>
      <c r="BU11" s="52" t="s">
        <v>125</v>
      </c>
      <c r="BV11" s="61" t="s">
        <v>312</v>
      </c>
      <c r="BW11" s="45">
        <v>12</v>
      </c>
      <c r="BX11" s="45">
        <v>12</v>
      </c>
      <c r="BY11" s="45">
        <v>12</v>
      </c>
      <c r="BZ11" s="45">
        <v>12</v>
      </c>
      <c r="CA11" s="45">
        <v>12</v>
      </c>
      <c r="CB11" s="45">
        <v>12</v>
      </c>
      <c r="CC11" s="45">
        <v>12</v>
      </c>
      <c r="CD11" s="45">
        <v>12</v>
      </c>
      <c r="CE11" s="46">
        <v>18</v>
      </c>
      <c r="CF11" s="46">
        <v>18</v>
      </c>
      <c r="CG11" s="46">
        <v>18</v>
      </c>
      <c r="CH11" s="46">
        <v>18</v>
      </c>
      <c r="CI11" s="45" t="s">
        <v>126</v>
      </c>
      <c r="CJ11" s="45" t="s">
        <v>126</v>
      </c>
      <c r="CK11" s="45" t="s">
        <v>126</v>
      </c>
      <c r="CL11" s="45" t="s">
        <v>126</v>
      </c>
      <c r="CM11" s="45" t="s">
        <v>126</v>
      </c>
      <c r="CN11" s="45" t="s">
        <v>126</v>
      </c>
      <c r="CO11" s="45" t="s">
        <v>126</v>
      </c>
      <c r="CP11" s="45" t="s">
        <v>126</v>
      </c>
      <c r="CQ11" s="51" t="s">
        <v>138</v>
      </c>
      <c r="CR11" s="51" t="s">
        <v>138</v>
      </c>
      <c r="CS11" s="51" t="s">
        <v>138</v>
      </c>
      <c r="CT11" s="51" t="s">
        <v>138</v>
      </c>
      <c r="CU11" s="45" t="s">
        <v>126</v>
      </c>
      <c r="CV11" s="45" t="s">
        <v>126</v>
      </c>
      <c r="CW11" s="45" t="s">
        <v>126</v>
      </c>
      <c r="CX11" s="45" t="s">
        <v>126</v>
      </c>
      <c r="CY11" s="45" t="s">
        <v>126</v>
      </c>
      <c r="CZ11" s="45">
        <v>21</v>
      </c>
      <c r="DA11" s="45">
        <v>21</v>
      </c>
      <c r="DB11" s="45">
        <v>21</v>
      </c>
      <c r="DC11" s="45">
        <v>21</v>
      </c>
      <c r="DD11" s="45" t="s">
        <v>126</v>
      </c>
      <c r="DE11" s="45" t="s">
        <v>126</v>
      </c>
      <c r="DF11" s="45" t="s">
        <v>126</v>
      </c>
      <c r="DG11" s="45" t="s">
        <v>126</v>
      </c>
      <c r="DH11" s="45" t="s">
        <v>126</v>
      </c>
      <c r="DI11" s="45" t="s">
        <v>126</v>
      </c>
      <c r="DJ11" s="45" t="s">
        <v>126</v>
      </c>
      <c r="DK11" s="45" t="s">
        <v>126</v>
      </c>
      <c r="DL11" s="45">
        <v>21</v>
      </c>
      <c r="DM11" s="45">
        <v>21</v>
      </c>
      <c r="DN11" s="45">
        <v>21</v>
      </c>
      <c r="DO11" s="51" t="s">
        <v>126</v>
      </c>
      <c r="DP11" s="51" t="s">
        <v>126</v>
      </c>
      <c r="DQ11" s="55" t="s">
        <v>312</v>
      </c>
      <c r="DR11" s="55" t="s">
        <v>312</v>
      </c>
      <c r="DS11" s="55" t="s">
        <v>312</v>
      </c>
      <c r="DT11" s="51" t="s">
        <v>126</v>
      </c>
      <c r="DU11" s="51" t="s">
        <v>126</v>
      </c>
      <c r="DV11" s="55" t="s">
        <v>312</v>
      </c>
      <c r="DW11" s="55" t="s">
        <v>312</v>
      </c>
      <c r="DX11" s="55" t="s">
        <v>312</v>
      </c>
      <c r="DY11" s="74" t="s">
        <v>72</v>
      </c>
      <c r="DZ11" s="74" t="s">
        <v>72</v>
      </c>
      <c r="EA11" s="74" t="s">
        <v>72</v>
      </c>
      <c r="EB11" s="74" t="s">
        <v>120</v>
      </c>
      <c r="EC11" s="74" t="s">
        <v>72</v>
      </c>
      <c r="ED11" s="74" t="s">
        <v>22</v>
      </c>
      <c r="EE11" s="74" t="s">
        <v>22</v>
      </c>
      <c r="EF11" s="74" t="s">
        <v>22</v>
      </c>
      <c r="EG11" s="74" t="s">
        <v>22</v>
      </c>
      <c r="EH11" s="74" t="s">
        <v>22</v>
      </c>
      <c r="EI11" s="74" t="s">
        <v>22</v>
      </c>
      <c r="EJ11" s="74" t="s">
        <v>72</v>
      </c>
      <c r="EK11" s="74" t="s">
        <v>22</v>
      </c>
      <c r="EL11" s="74" t="s">
        <v>22</v>
      </c>
      <c r="EM11" s="74" t="s">
        <v>22</v>
      </c>
      <c r="EN11" s="74" t="s">
        <v>22</v>
      </c>
      <c r="EO11" s="74" t="s">
        <v>22</v>
      </c>
      <c r="EP11" s="74" t="s">
        <v>22</v>
      </c>
      <c r="EQ11" s="80" t="s">
        <v>314</v>
      </c>
      <c r="ER11" s="80" t="s">
        <v>314</v>
      </c>
      <c r="ES11" s="80" t="s">
        <v>314</v>
      </c>
      <c r="ET11" s="80" t="s">
        <v>314</v>
      </c>
      <c r="EU11" s="45" t="s">
        <v>242</v>
      </c>
      <c r="EV11" s="45" t="s">
        <v>242</v>
      </c>
      <c r="EW11" s="103" t="s">
        <v>242</v>
      </c>
      <c r="EX11" s="105" t="s">
        <v>312</v>
      </c>
      <c r="EY11" s="99" t="s">
        <v>313</v>
      </c>
      <c r="EZ11" s="99" t="s">
        <v>313</v>
      </c>
      <c r="FA11" s="109" t="s">
        <v>242</v>
      </c>
      <c r="FB11" s="45" t="s">
        <v>242</v>
      </c>
      <c r="FC11" s="103" t="s">
        <v>242</v>
      </c>
      <c r="FD11" s="105" t="s">
        <v>312</v>
      </c>
      <c r="FE11" s="99" t="s">
        <v>313</v>
      </c>
      <c r="FF11" s="99" t="s">
        <v>313</v>
      </c>
      <c r="FG11" s="109" t="s">
        <v>242</v>
      </c>
      <c r="FH11" s="45" t="s">
        <v>242</v>
      </c>
      <c r="FI11" s="103" t="s">
        <v>242</v>
      </c>
      <c r="FJ11" s="103" t="s">
        <v>124</v>
      </c>
      <c r="FK11" s="45" t="s">
        <v>123</v>
      </c>
      <c r="FL11" s="51" t="s">
        <v>124</v>
      </c>
      <c r="FM11" s="45" t="s">
        <v>123</v>
      </c>
      <c r="FN11" s="103" t="s">
        <v>123</v>
      </c>
    </row>
    <row r="12" spans="1:170 16353:16353" x14ac:dyDescent="0.25">
      <c r="A12" s="45" t="s">
        <v>123</v>
      </c>
      <c r="B12" s="52" t="s">
        <v>123</v>
      </c>
      <c r="C12" s="45" t="s">
        <v>123</v>
      </c>
      <c r="D12" s="51" t="s">
        <v>126</v>
      </c>
      <c r="E12" s="51" t="s">
        <v>126</v>
      </c>
      <c r="F12" s="51" t="s">
        <v>126</v>
      </c>
      <c r="G12" s="52" t="s">
        <v>200</v>
      </c>
      <c r="H12" s="52" t="s">
        <v>123</v>
      </c>
      <c r="I12" s="45" t="s">
        <v>126</v>
      </c>
      <c r="J12" s="51" t="s">
        <v>126</v>
      </c>
      <c r="K12" s="51" t="s">
        <v>126</v>
      </c>
      <c r="L12" s="52" t="s">
        <v>123</v>
      </c>
      <c r="M12" s="52" t="s">
        <v>123</v>
      </c>
      <c r="N12" s="45" t="s">
        <v>126</v>
      </c>
      <c r="O12" s="69" t="s">
        <v>126</v>
      </c>
      <c r="P12" s="45" t="s">
        <v>126</v>
      </c>
      <c r="Q12" s="45">
        <v>21</v>
      </c>
      <c r="R12" s="45">
        <v>21</v>
      </c>
      <c r="S12" s="45">
        <v>21</v>
      </c>
      <c r="T12" s="45">
        <v>21</v>
      </c>
      <c r="U12" s="60" t="s">
        <v>123</v>
      </c>
      <c r="V12" s="45" t="s">
        <v>126</v>
      </c>
      <c r="W12" s="45" t="s">
        <v>126</v>
      </c>
      <c r="X12" s="60" t="s">
        <v>123</v>
      </c>
      <c r="Y12" s="60" t="s">
        <v>123</v>
      </c>
      <c r="Z12" s="60" t="s">
        <v>123</v>
      </c>
      <c r="AA12" s="45" t="s">
        <v>126</v>
      </c>
      <c r="AB12" s="45" t="s">
        <v>126</v>
      </c>
      <c r="AC12" s="45">
        <v>21</v>
      </c>
      <c r="AD12" s="45">
        <v>21</v>
      </c>
      <c r="AE12" s="45">
        <v>21</v>
      </c>
      <c r="AF12" s="45">
        <v>21</v>
      </c>
      <c r="AG12" s="52" t="s">
        <v>200</v>
      </c>
      <c r="AH12" s="52" t="s">
        <v>200</v>
      </c>
      <c r="AI12" s="52" t="s">
        <v>200</v>
      </c>
      <c r="AJ12" s="52" t="s">
        <v>200</v>
      </c>
      <c r="AK12" s="52" t="s">
        <v>200</v>
      </c>
      <c r="AL12" s="52" t="s">
        <v>200</v>
      </c>
      <c r="AM12" s="52" t="s">
        <v>200</v>
      </c>
      <c r="AN12" s="52" t="s">
        <v>200</v>
      </c>
      <c r="AO12" s="52" t="s">
        <v>200</v>
      </c>
      <c r="AP12" s="52" t="s">
        <v>200</v>
      </c>
      <c r="AQ12" s="47" t="s">
        <v>22</v>
      </c>
      <c r="AR12" s="47" t="s">
        <v>22</v>
      </c>
      <c r="AS12" s="47" t="s">
        <v>22</v>
      </c>
      <c r="AT12" s="47" t="s">
        <v>22</v>
      </c>
      <c r="AU12" s="47" t="s">
        <v>22</v>
      </c>
      <c r="AV12" s="47" t="s">
        <v>22</v>
      </c>
      <c r="AW12" s="47" t="s">
        <v>32</v>
      </c>
      <c r="AX12" s="47" t="s">
        <v>32</v>
      </c>
      <c r="AY12" s="47" t="s">
        <v>32</v>
      </c>
      <c r="AZ12" s="47" t="s">
        <v>32</v>
      </c>
      <c r="BA12" s="47" t="s">
        <v>32</v>
      </c>
      <c r="BB12" s="47" t="s">
        <v>32</v>
      </c>
      <c r="BC12" s="47" t="s">
        <v>32</v>
      </c>
      <c r="BD12" s="47" t="s">
        <v>32</v>
      </c>
      <c r="BE12" s="47" t="s">
        <v>32</v>
      </c>
      <c r="BF12" s="47" t="s">
        <v>32</v>
      </c>
      <c r="BG12" s="47" t="s">
        <v>32</v>
      </c>
      <c r="BH12" s="47" t="s">
        <v>32</v>
      </c>
      <c r="BI12" s="47" t="s">
        <v>32</v>
      </c>
      <c r="BJ12" s="47" t="s">
        <v>32</v>
      </c>
      <c r="BK12" s="55" t="s">
        <v>312</v>
      </c>
      <c r="BL12" s="55" t="s">
        <v>312</v>
      </c>
      <c r="BM12" s="55" t="s">
        <v>312</v>
      </c>
      <c r="BN12" s="45">
        <v>4.5</v>
      </c>
      <c r="BO12" s="46" t="s">
        <v>22</v>
      </c>
      <c r="BP12" s="45">
        <v>4.5</v>
      </c>
      <c r="BQ12" s="55" t="s">
        <v>314</v>
      </c>
      <c r="BR12" s="45">
        <v>4.5</v>
      </c>
      <c r="BS12" s="55" t="s">
        <v>312</v>
      </c>
      <c r="BT12" s="55" t="s">
        <v>312</v>
      </c>
      <c r="BU12" s="55" t="s">
        <v>312</v>
      </c>
      <c r="BV12" s="51">
        <v>9</v>
      </c>
      <c r="BW12" s="45">
        <v>18</v>
      </c>
      <c r="BX12" s="45">
        <v>18</v>
      </c>
      <c r="BY12" s="45">
        <v>18</v>
      </c>
      <c r="BZ12" s="45">
        <v>18</v>
      </c>
      <c r="CA12" s="45">
        <v>18</v>
      </c>
      <c r="CB12" s="45">
        <v>18</v>
      </c>
      <c r="CC12" s="45">
        <v>18</v>
      </c>
      <c r="CD12" s="45">
        <v>18</v>
      </c>
      <c r="CE12" s="46">
        <v>27</v>
      </c>
      <c r="CF12" s="46">
        <v>27</v>
      </c>
      <c r="CG12" s="46">
        <v>27</v>
      </c>
      <c r="CH12" s="46">
        <v>27</v>
      </c>
      <c r="CI12" s="60" t="s">
        <v>123</v>
      </c>
      <c r="CJ12" s="60" t="s">
        <v>123</v>
      </c>
      <c r="CK12" s="60" t="s">
        <v>123</v>
      </c>
      <c r="CL12" s="60" t="s">
        <v>123</v>
      </c>
      <c r="CM12" s="60" t="s">
        <v>123</v>
      </c>
      <c r="CN12" s="60" t="s">
        <v>123</v>
      </c>
      <c r="CO12" s="60" t="s">
        <v>123</v>
      </c>
      <c r="CP12" s="60" t="s">
        <v>123</v>
      </c>
      <c r="CQ12" s="51" t="s">
        <v>120</v>
      </c>
      <c r="CR12" s="51" t="s">
        <v>120</v>
      </c>
      <c r="CS12" s="51" t="s">
        <v>120</v>
      </c>
      <c r="CT12" s="51" t="s">
        <v>120</v>
      </c>
      <c r="CU12" s="60" t="s">
        <v>123</v>
      </c>
      <c r="CV12" s="60" t="s">
        <v>123</v>
      </c>
      <c r="CW12" s="60" t="s">
        <v>123</v>
      </c>
      <c r="CX12" s="60" t="s">
        <v>123</v>
      </c>
      <c r="CY12" s="60" t="s">
        <v>123</v>
      </c>
      <c r="CZ12" s="45">
        <v>24</v>
      </c>
      <c r="DA12" s="45">
        <v>24</v>
      </c>
      <c r="DB12" s="45">
        <v>24</v>
      </c>
      <c r="DC12" s="45">
        <v>24</v>
      </c>
      <c r="DD12" s="60" t="s">
        <v>123</v>
      </c>
      <c r="DE12" s="60" t="s">
        <v>123</v>
      </c>
      <c r="DF12" s="60" t="s">
        <v>123</v>
      </c>
      <c r="DG12" s="60" t="s">
        <v>123</v>
      </c>
      <c r="DH12" s="60" t="s">
        <v>123</v>
      </c>
      <c r="DI12" s="60" t="s">
        <v>123</v>
      </c>
      <c r="DJ12" s="60" t="s">
        <v>123</v>
      </c>
      <c r="DK12" s="60" t="s">
        <v>123</v>
      </c>
      <c r="DL12" s="45">
        <v>24</v>
      </c>
      <c r="DM12" s="45">
        <v>24</v>
      </c>
      <c r="DN12" s="45">
        <v>24</v>
      </c>
      <c r="DO12" s="52" t="s">
        <v>123</v>
      </c>
      <c r="DP12" s="52" t="s">
        <v>123</v>
      </c>
      <c r="DQ12" s="45">
        <v>9</v>
      </c>
      <c r="DR12" s="45">
        <v>9</v>
      </c>
      <c r="DS12" s="45">
        <v>9</v>
      </c>
      <c r="DT12" s="52" t="s">
        <v>123</v>
      </c>
      <c r="DU12" s="52" t="s">
        <v>123</v>
      </c>
      <c r="DV12" s="45">
        <v>9</v>
      </c>
      <c r="DW12" s="45">
        <v>9</v>
      </c>
      <c r="DX12" s="45">
        <v>9</v>
      </c>
      <c r="DY12" s="82" t="s">
        <v>313</v>
      </c>
      <c r="DZ12" s="82" t="s">
        <v>313</v>
      </c>
      <c r="EA12" s="82" t="s">
        <v>313</v>
      </c>
      <c r="EB12" s="81" t="s">
        <v>312</v>
      </c>
      <c r="EC12" s="80" t="s">
        <v>314</v>
      </c>
      <c r="ED12" s="80" t="s">
        <v>314</v>
      </c>
      <c r="EE12" s="80" t="s">
        <v>314</v>
      </c>
      <c r="EF12" s="80" t="s">
        <v>314</v>
      </c>
      <c r="EG12" s="80" t="s">
        <v>314</v>
      </c>
      <c r="EH12" s="80" t="s">
        <v>314</v>
      </c>
      <c r="EI12" s="80" t="s">
        <v>314</v>
      </c>
      <c r="EJ12" s="82" t="s">
        <v>313</v>
      </c>
      <c r="EK12" s="80" t="s">
        <v>314</v>
      </c>
      <c r="EL12" s="80" t="s">
        <v>314</v>
      </c>
      <c r="EM12" s="80" t="s">
        <v>314</v>
      </c>
      <c r="EN12" s="80" t="s">
        <v>314</v>
      </c>
      <c r="EO12" s="80" t="s">
        <v>314</v>
      </c>
      <c r="EP12" s="80" t="s">
        <v>314</v>
      </c>
      <c r="EQ12" s="74" t="s">
        <v>72</v>
      </c>
      <c r="ER12" s="74" t="s">
        <v>72</v>
      </c>
      <c r="ES12" s="74" t="s">
        <v>72</v>
      </c>
      <c r="ET12" s="74" t="s">
        <v>72</v>
      </c>
      <c r="EU12" s="45" t="s">
        <v>243</v>
      </c>
      <c r="EV12" s="45" t="s">
        <v>243</v>
      </c>
      <c r="EW12" s="103" t="s">
        <v>243</v>
      </c>
      <c r="EX12" s="103" t="s">
        <v>72</v>
      </c>
      <c r="EY12" s="47" t="s">
        <v>22</v>
      </c>
      <c r="EZ12" s="47" t="s">
        <v>22</v>
      </c>
      <c r="FA12" s="109" t="s">
        <v>243</v>
      </c>
      <c r="FB12" s="45" t="s">
        <v>243</v>
      </c>
      <c r="FC12" s="103" t="s">
        <v>243</v>
      </c>
      <c r="FD12" s="103" t="s">
        <v>72</v>
      </c>
      <c r="FE12" s="47" t="s">
        <v>22</v>
      </c>
      <c r="FF12" s="47" t="s">
        <v>22</v>
      </c>
      <c r="FG12" s="109" t="s">
        <v>243</v>
      </c>
      <c r="FH12" s="45" t="s">
        <v>243</v>
      </c>
      <c r="FI12" s="103" t="s">
        <v>243</v>
      </c>
      <c r="FJ12" s="103" t="s">
        <v>121</v>
      </c>
      <c r="FK12" s="98" t="s">
        <v>312</v>
      </c>
      <c r="FL12" s="51" t="s">
        <v>121</v>
      </c>
      <c r="FM12" s="98" t="s">
        <v>312</v>
      </c>
      <c r="FN12" s="105" t="s">
        <v>312</v>
      </c>
      <c r="XDY12" s="85"/>
    </row>
    <row r="13" spans="1:170 16353:16353" x14ac:dyDescent="0.25">
      <c r="A13" s="51" t="s">
        <v>200</v>
      </c>
      <c r="B13" s="51" t="s">
        <v>200</v>
      </c>
      <c r="C13" s="52" t="s">
        <v>200</v>
      </c>
      <c r="D13" s="52" t="s">
        <v>123</v>
      </c>
      <c r="E13" s="52" t="s">
        <v>123</v>
      </c>
      <c r="F13" s="52" t="s">
        <v>123</v>
      </c>
      <c r="G13" s="55" t="s">
        <v>312</v>
      </c>
      <c r="H13" s="51" t="s">
        <v>200</v>
      </c>
      <c r="I13" s="60" t="s">
        <v>123</v>
      </c>
      <c r="J13" s="52" t="s">
        <v>123</v>
      </c>
      <c r="K13" s="52" t="s">
        <v>123</v>
      </c>
      <c r="L13" s="51" t="s">
        <v>200</v>
      </c>
      <c r="M13" s="51" t="s">
        <v>200</v>
      </c>
      <c r="N13" s="60" t="s">
        <v>123</v>
      </c>
      <c r="O13" s="68" t="s">
        <v>123</v>
      </c>
      <c r="P13" s="60" t="s">
        <v>123</v>
      </c>
      <c r="Q13" s="45">
        <v>24</v>
      </c>
      <c r="R13" s="45">
        <v>24</v>
      </c>
      <c r="S13" s="45">
        <v>24</v>
      </c>
      <c r="T13" s="45">
        <v>24</v>
      </c>
      <c r="U13" s="68" t="s">
        <v>200</v>
      </c>
      <c r="V13" s="60" t="s">
        <v>123</v>
      </c>
      <c r="W13" s="60" t="s">
        <v>123</v>
      </c>
      <c r="X13" s="68" t="s">
        <v>200</v>
      </c>
      <c r="Y13" s="68" t="s">
        <v>200</v>
      </c>
      <c r="Z13" s="68" t="s">
        <v>200</v>
      </c>
      <c r="AA13" s="60" t="s">
        <v>123</v>
      </c>
      <c r="AB13" s="60" t="s">
        <v>123</v>
      </c>
      <c r="AC13" s="45">
        <v>24</v>
      </c>
      <c r="AD13" s="45">
        <v>24</v>
      </c>
      <c r="AE13" s="45">
        <v>24</v>
      </c>
      <c r="AF13" s="45">
        <v>24</v>
      </c>
      <c r="AG13" s="55" t="s">
        <v>312</v>
      </c>
      <c r="AH13" s="55" t="s">
        <v>312</v>
      </c>
      <c r="AI13" s="55" t="s">
        <v>312</v>
      </c>
      <c r="AJ13" s="55" t="s">
        <v>312</v>
      </c>
      <c r="AK13" s="55" t="s">
        <v>312</v>
      </c>
      <c r="AL13" s="55" t="s">
        <v>312</v>
      </c>
      <c r="AM13" s="55" t="s">
        <v>312</v>
      </c>
      <c r="AN13" s="55" t="s">
        <v>312</v>
      </c>
      <c r="AO13" s="55" t="s">
        <v>312</v>
      </c>
      <c r="AP13" s="55" t="s">
        <v>312</v>
      </c>
      <c r="AQ13" s="47" t="s">
        <v>32</v>
      </c>
      <c r="AR13" s="47" t="s">
        <v>32</v>
      </c>
      <c r="AS13" s="47" t="s">
        <v>32</v>
      </c>
      <c r="AT13" s="47" t="s">
        <v>32</v>
      </c>
      <c r="AU13" s="47" t="s">
        <v>32</v>
      </c>
      <c r="AV13" s="47" t="s">
        <v>32</v>
      </c>
      <c r="AW13" s="47" t="s">
        <v>33</v>
      </c>
      <c r="AX13" s="47" t="s">
        <v>33</v>
      </c>
      <c r="AY13" s="47" t="s">
        <v>33</v>
      </c>
      <c r="AZ13" s="47" t="s">
        <v>33</v>
      </c>
      <c r="BA13" s="47" t="s">
        <v>33</v>
      </c>
      <c r="BB13" s="47" t="s">
        <v>33</v>
      </c>
      <c r="BC13" s="47" t="s">
        <v>33</v>
      </c>
      <c r="BD13" s="47" t="s">
        <v>33</v>
      </c>
      <c r="BE13" s="47" t="s">
        <v>33</v>
      </c>
      <c r="BF13" s="47" t="s">
        <v>33</v>
      </c>
      <c r="BG13" s="47" t="s">
        <v>33</v>
      </c>
      <c r="BH13" s="47" t="s">
        <v>33</v>
      </c>
      <c r="BI13" s="47" t="s">
        <v>33</v>
      </c>
      <c r="BJ13" s="47" t="s">
        <v>33</v>
      </c>
      <c r="BK13" s="51">
        <v>4.5</v>
      </c>
      <c r="BL13" s="51">
        <v>4.5</v>
      </c>
      <c r="BM13" s="51">
        <v>4.5</v>
      </c>
      <c r="BN13" s="45">
        <v>6</v>
      </c>
      <c r="BO13" s="55" t="s">
        <v>314</v>
      </c>
      <c r="BP13" s="45">
        <v>6</v>
      </c>
      <c r="BQ13" s="45" t="s">
        <v>417</v>
      </c>
      <c r="BR13" s="45">
        <v>6</v>
      </c>
      <c r="BS13" s="51">
        <v>9</v>
      </c>
      <c r="BT13" s="51">
        <v>9</v>
      </c>
      <c r="BU13" s="51">
        <v>9</v>
      </c>
      <c r="BV13" s="51">
        <v>12</v>
      </c>
      <c r="BW13" s="45">
        <v>24</v>
      </c>
      <c r="BX13" s="45">
        <v>24</v>
      </c>
      <c r="BY13" s="60">
        <v>24</v>
      </c>
      <c r="BZ13" s="45">
        <v>24</v>
      </c>
      <c r="CA13" s="45">
        <v>24</v>
      </c>
      <c r="CB13" s="45">
        <v>24</v>
      </c>
      <c r="CC13" s="60">
        <v>24</v>
      </c>
      <c r="CD13" s="45">
        <v>24</v>
      </c>
      <c r="CE13" s="77" t="s">
        <v>313</v>
      </c>
      <c r="CF13" s="77" t="s">
        <v>313</v>
      </c>
      <c r="CG13" s="77" t="s">
        <v>313</v>
      </c>
      <c r="CH13" s="77" t="s">
        <v>313</v>
      </c>
      <c r="CI13" s="55" t="s">
        <v>312</v>
      </c>
      <c r="CJ13" s="55" t="s">
        <v>312</v>
      </c>
      <c r="CK13" s="55" t="s">
        <v>312</v>
      </c>
      <c r="CL13" s="55" t="s">
        <v>312</v>
      </c>
      <c r="CM13" s="55" t="s">
        <v>312</v>
      </c>
      <c r="CN13" s="55" t="s">
        <v>312</v>
      </c>
      <c r="CO13" s="55" t="s">
        <v>312</v>
      </c>
      <c r="CP13" s="55" t="s">
        <v>312</v>
      </c>
      <c r="CQ13" s="51" t="s">
        <v>126</v>
      </c>
      <c r="CR13" s="51" t="s">
        <v>126</v>
      </c>
      <c r="CS13" s="51" t="s">
        <v>126</v>
      </c>
      <c r="CT13" s="51" t="s">
        <v>126</v>
      </c>
      <c r="CU13" s="55" t="s">
        <v>312</v>
      </c>
      <c r="CV13" s="55" t="s">
        <v>312</v>
      </c>
      <c r="CW13" s="55" t="s">
        <v>312</v>
      </c>
      <c r="CX13" s="55" t="s">
        <v>312</v>
      </c>
      <c r="CY13" s="55" t="s">
        <v>312</v>
      </c>
      <c r="CZ13" s="45">
        <v>29</v>
      </c>
      <c r="DA13" s="45">
        <v>29</v>
      </c>
      <c r="DB13" s="45">
        <v>29</v>
      </c>
      <c r="DC13" s="45">
        <v>29</v>
      </c>
      <c r="DD13" s="55" t="s">
        <v>312</v>
      </c>
      <c r="DE13" s="55" t="s">
        <v>312</v>
      </c>
      <c r="DF13" s="55" t="s">
        <v>312</v>
      </c>
      <c r="DG13" s="55" t="s">
        <v>312</v>
      </c>
      <c r="DH13" s="55" t="s">
        <v>312</v>
      </c>
      <c r="DI13" s="55" t="s">
        <v>312</v>
      </c>
      <c r="DJ13" s="55" t="s">
        <v>312</v>
      </c>
      <c r="DK13" s="55" t="s">
        <v>312</v>
      </c>
      <c r="DL13" s="45">
        <v>29</v>
      </c>
      <c r="DM13" s="45">
        <v>29</v>
      </c>
      <c r="DN13" s="45">
        <v>29</v>
      </c>
      <c r="DO13" s="55" t="s">
        <v>312</v>
      </c>
      <c r="DP13" s="55" t="s">
        <v>312</v>
      </c>
      <c r="DQ13" s="45">
        <v>11</v>
      </c>
      <c r="DR13" s="45">
        <v>11</v>
      </c>
      <c r="DS13" s="45">
        <v>11</v>
      </c>
      <c r="DT13" s="55" t="s">
        <v>312</v>
      </c>
      <c r="DU13" s="55" t="s">
        <v>312</v>
      </c>
      <c r="DV13" s="45">
        <v>11</v>
      </c>
      <c r="DW13" s="45">
        <v>11</v>
      </c>
      <c r="DX13" s="45">
        <v>11</v>
      </c>
      <c r="DY13" s="74" t="s">
        <v>22</v>
      </c>
      <c r="DZ13" s="74" t="s">
        <v>22</v>
      </c>
      <c r="EA13" s="74" t="s">
        <v>22</v>
      </c>
      <c r="EB13" s="74" t="s">
        <v>72</v>
      </c>
      <c r="EC13" s="74" t="s">
        <v>72</v>
      </c>
      <c r="ED13" s="74" t="s">
        <v>72</v>
      </c>
      <c r="EE13" s="74" t="s">
        <v>72</v>
      </c>
      <c r="EF13" s="74" t="s">
        <v>72</v>
      </c>
      <c r="EG13" s="74" t="s">
        <v>72</v>
      </c>
      <c r="EH13" s="74" t="s">
        <v>72</v>
      </c>
      <c r="EI13" s="74" t="s">
        <v>72</v>
      </c>
      <c r="EJ13" s="74" t="s">
        <v>22</v>
      </c>
      <c r="EK13" s="74" t="s">
        <v>72</v>
      </c>
      <c r="EL13" s="74" t="s">
        <v>72</v>
      </c>
      <c r="EM13" s="74" t="s">
        <v>72</v>
      </c>
      <c r="EN13" s="74" t="s">
        <v>72</v>
      </c>
      <c r="EO13" s="74" t="s">
        <v>72</v>
      </c>
      <c r="EP13" s="74" t="s">
        <v>72</v>
      </c>
      <c r="EU13" s="98" t="s">
        <v>312</v>
      </c>
      <c r="EV13" s="98" t="s">
        <v>312</v>
      </c>
      <c r="EW13" s="105" t="s">
        <v>312</v>
      </c>
      <c r="EX13" s="106" t="s">
        <v>313</v>
      </c>
      <c r="EY13" s="47" t="s">
        <v>32</v>
      </c>
      <c r="EZ13" s="47" t="s">
        <v>32</v>
      </c>
      <c r="FA13" s="111" t="s">
        <v>312</v>
      </c>
      <c r="FB13" s="98" t="s">
        <v>312</v>
      </c>
      <c r="FC13" s="105" t="s">
        <v>312</v>
      </c>
      <c r="FD13" s="106" t="s">
        <v>313</v>
      </c>
      <c r="FE13" s="47" t="s">
        <v>32</v>
      </c>
      <c r="FF13" s="47" t="s">
        <v>32</v>
      </c>
      <c r="FG13" s="109" t="s">
        <v>124</v>
      </c>
      <c r="FH13" s="45" t="s">
        <v>124</v>
      </c>
      <c r="FI13" s="103" t="s">
        <v>124</v>
      </c>
      <c r="FJ13" s="103" t="s">
        <v>123</v>
      </c>
      <c r="FK13" s="45" t="s">
        <v>72</v>
      </c>
      <c r="FL13" s="51" t="s">
        <v>123</v>
      </c>
      <c r="FM13" s="45" t="s">
        <v>72</v>
      </c>
      <c r="FN13" s="45" t="s">
        <v>72</v>
      </c>
      <c r="XDY13" s="34"/>
    </row>
    <row r="14" spans="1:170 16353:16353" x14ac:dyDescent="0.25">
      <c r="A14" s="55" t="s">
        <v>312</v>
      </c>
      <c r="B14" s="55" t="s">
        <v>312</v>
      </c>
      <c r="C14" s="55" t="s">
        <v>312</v>
      </c>
      <c r="D14" s="52" t="s">
        <v>200</v>
      </c>
      <c r="E14" s="52" t="s">
        <v>200</v>
      </c>
      <c r="F14" s="52" t="s">
        <v>200</v>
      </c>
      <c r="G14" s="51">
        <v>18</v>
      </c>
      <c r="H14" s="55" t="s">
        <v>312</v>
      </c>
      <c r="I14" s="45" t="s">
        <v>200</v>
      </c>
      <c r="J14" s="51" t="s">
        <v>200</v>
      </c>
      <c r="K14" s="51" t="s">
        <v>200</v>
      </c>
      <c r="L14" s="55" t="s">
        <v>312</v>
      </c>
      <c r="M14" s="55" t="s">
        <v>312</v>
      </c>
      <c r="N14" s="51" t="s">
        <v>200</v>
      </c>
      <c r="O14" s="69" t="s">
        <v>200</v>
      </c>
      <c r="P14" s="69" t="s">
        <v>200</v>
      </c>
      <c r="Q14" s="45">
        <v>29</v>
      </c>
      <c r="R14" s="45">
        <v>29</v>
      </c>
      <c r="S14" s="45">
        <v>29</v>
      </c>
      <c r="T14" s="45">
        <v>29</v>
      </c>
      <c r="U14" s="55" t="s">
        <v>312</v>
      </c>
      <c r="V14" s="68" t="s">
        <v>200</v>
      </c>
      <c r="W14" s="68" t="s">
        <v>200</v>
      </c>
      <c r="X14" s="55" t="s">
        <v>312</v>
      </c>
      <c r="Y14" s="55" t="s">
        <v>312</v>
      </c>
      <c r="Z14" s="55" t="s">
        <v>312</v>
      </c>
      <c r="AA14" s="68" t="s">
        <v>200</v>
      </c>
      <c r="AB14" s="68" t="s">
        <v>200</v>
      </c>
      <c r="AC14" s="45">
        <v>29</v>
      </c>
      <c r="AD14" s="45">
        <v>29</v>
      </c>
      <c r="AE14" s="45">
        <v>29</v>
      </c>
      <c r="AF14" s="45">
        <v>29</v>
      </c>
      <c r="AG14" s="76" t="s">
        <v>72</v>
      </c>
      <c r="AH14" s="76" t="s">
        <v>72</v>
      </c>
      <c r="AI14" s="76" t="s">
        <v>72</v>
      </c>
      <c r="AJ14" s="52" t="s">
        <v>72</v>
      </c>
      <c r="AK14" s="52" t="s">
        <v>72</v>
      </c>
      <c r="AL14" s="76" t="s">
        <v>72</v>
      </c>
      <c r="AM14" s="76" t="s">
        <v>72</v>
      </c>
      <c r="AN14" s="76" t="s">
        <v>72</v>
      </c>
      <c r="AO14" s="52" t="s">
        <v>72</v>
      </c>
      <c r="AP14" s="52" t="s">
        <v>72</v>
      </c>
      <c r="AQ14" s="47" t="s">
        <v>33</v>
      </c>
      <c r="AR14" s="47" t="s">
        <v>33</v>
      </c>
      <c r="AS14" s="47" t="s">
        <v>33</v>
      </c>
      <c r="AT14" s="47" t="s">
        <v>33</v>
      </c>
      <c r="AU14" s="47" t="s">
        <v>33</v>
      </c>
      <c r="AV14" s="47" t="s">
        <v>33</v>
      </c>
      <c r="AW14" s="47" t="s">
        <v>23</v>
      </c>
      <c r="AX14" s="47" t="s">
        <v>23</v>
      </c>
      <c r="AY14" s="47" t="s">
        <v>23</v>
      </c>
      <c r="AZ14" s="47" t="s">
        <v>23</v>
      </c>
      <c r="BA14" s="47" t="s">
        <v>23</v>
      </c>
      <c r="BB14" s="47" t="s">
        <v>23</v>
      </c>
      <c r="BC14" s="47" t="s">
        <v>23</v>
      </c>
      <c r="BD14" s="47" t="s">
        <v>23</v>
      </c>
      <c r="BE14" s="47" t="s">
        <v>23</v>
      </c>
      <c r="BF14" s="47" t="s">
        <v>23</v>
      </c>
      <c r="BG14" s="47" t="s">
        <v>23</v>
      </c>
      <c r="BH14" s="47" t="s">
        <v>23</v>
      </c>
      <c r="BI14" s="47" t="s">
        <v>23</v>
      </c>
      <c r="BJ14" s="47" t="s">
        <v>23</v>
      </c>
      <c r="BK14" s="51">
        <v>6</v>
      </c>
      <c r="BL14" s="51">
        <v>6</v>
      </c>
      <c r="BM14" s="51">
        <v>6</v>
      </c>
      <c r="BN14" s="45">
        <v>9</v>
      </c>
      <c r="BO14" s="45" t="s">
        <v>417</v>
      </c>
      <c r="BP14" s="45">
        <v>9</v>
      </c>
      <c r="BR14" s="45">
        <v>9</v>
      </c>
      <c r="BS14" s="51">
        <v>12</v>
      </c>
      <c r="BT14" s="51">
        <v>12</v>
      </c>
      <c r="BU14" s="51">
        <v>12</v>
      </c>
      <c r="BV14" s="51">
        <v>18</v>
      </c>
      <c r="BW14" s="45">
        <v>36</v>
      </c>
      <c r="BX14" s="45">
        <v>36</v>
      </c>
      <c r="BY14" s="77" t="s">
        <v>313</v>
      </c>
      <c r="BZ14" s="45">
        <v>36</v>
      </c>
      <c r="CA14" s="45">
        <v>36</v>
      </c>
      <c r="CB14" s="45">
        <v>36</v>
      </c>
      <c r="CC14" s="77" t="s">
        <v>313</v>
      </c>
      <c r="CD14" s="45">
        <v>36</v>
      </c>
      <c r="CE14" s="46" t="s">
        <v>22</v>
      </c>
      <c r="CF14" s="46" t="s">
        <v>22</v>
      </c>
      <c r="CG14" s="46" t="s">
        <v>22</v>
      </c>
      <c r="CH14" s="46" t="s">
        <v>22</v>
      </c>
      <c r="CI14" s="45">
        <v>18</v>
      </c>
      <c r="CJ14" s="45">
        <v>18</v>
      </c>
      <c r="CK14" s="45">
        <v>18</v>
      </c>
      <c r="CL14" s="45">
        <v>18</v>
      </c>
      <c r="CM14" s="45">
        <v>18</v>
      </c>
      <c r="CN14" s="45">
        <v>18</v>
      </c>
      <c r="CO14" s="45">
        <v>18</v>
      </c>
      <c r="CP14" s="45">
        <v>18</v>
      </c>
      <c r="CQ14" s="52" t="s">
        <v>123</v>
      </c>
      <c r="CR14" s="52" t="s">
        <v>123</v>
      </c>
      <c r="CS14" s="52" t="s">
        <v>123</v>
      </c>
      <c r="CT14" s="52" t="s">
        <v>123</v>
      </c>
      <c r="CU14" s="45">
        <v>18</v>
      </c>
      <c r="CV14" s="45">
        <v>18</v>
      </c>
      <c r="CW14" s="45">
        <v>18</v>
      </c>
      <c r="CX14" s="45">
        <v>18</v>
      </c>
      <c r="CY14" s="45">
        <v>18</v>
      </c>
      <c r="CZ14" s="45">
        <v>36</v>
      </c>
      <c r="DA14" s="45">
        <v>36</v>
      </c>
      <c r="DB14" s="45">
        <v>36</v>
      </c>
      <c r="DC14" s="45">
        <v>36</v>
      </c>
      <c r="DD14" s="45">
        <v>18</v>
      </c>
      <c r="DE14" s="45">
        <v>18</v>
      </c>
      <c r="DF14" s="45">
        <v>18</v>
      </c>
      <c r="DG14" s="45">
        <v>18</v>
      </c>
      <c r="DH14" s="45">
        <v>18</v>
      </c>
      <c r="DI14" s="60">
        <v>24</v>
      </c>
      <c r="DJ14" s="45">
        <v>18</v>
      </c>
      <c r="DK14" s="45">
        <v>18</v>
      </c>
      <c r="DL14" s="45">
        <v>36</v>
      </c>
      <c r="DM14" s="45">
        <v>36</v>
      </c>
      <c r="DN14" s="45">
        <v>36</v>
      </c>
      <c r="DO14" s="51">
        <v>9</v>
      </c>
      <c r="DP14" s="51">
        <v>9</v>
      </c>
      <c r="DQ14" s="45">
        <v>12</v>
      </c>
      <c r="DR14" s="45">
        <v>12</v>
      </c>
      <c r="DS14" s="45">
        <v>12</v>
      </c>
      <c r="DT14" s="51">
        <v>9</v>
      </c>
      <c r="DU14" s="51">
        <v>9</v>
      </c>
      <c r="DV14" s="45">
        <v>12</v>
      </c>
      <c r="DW14" s="45">
        <v>12</v>
      </c>
      <c r="DX14" s="45">
        <v>12</v>
      </c>
      <c r="DY14" s="80" t="s">
        <v>314</v>
      </c>
      <c r="DZ14" s="80" t="s">
        <v>314</v>
      </c>
      <c r="EA14" s="80" t="s">
        <v>314</v>
      </c>
      <c r="EB14" s="82" t="s">
        <v>313</v>
      </c>
      <c r="EJ14" s="80" t="s">
        <v>314</v>
      </c>
      <c r="EU14" s="45" t="s">
        <v>72</v>
      </c>
      <c r="EV14" s="45" t="s">
        <v>72</v>
      </c>
      <c r="EW14" s="103" t="s">
        <v>72</v>
      </c>
      <c r="EX14" s="107" t="s">
        <v>22</v>
      </c>
      <c r="EY14" s="47" t="s">
        <v>33</v>
      </c>
      <c r="EZ14" s="47" t="s">
        <v>33</v>
      </c>
      <c r="FA14" s="109" t="s">
        <v>72</v>
      </c>
      <c r="FB14" s="45" t="s">
        <v>72</v>
      </c>
      <c r="FC14" s="103" t="s">
        <v>72</v>
      </c>
      <c r="FD14" s="107" t="s">
        <v>22</v>
      </c>
      <c r="FE14" s="47" t="s">
        <v>33</v>
      </c>
      <c r="FF14" s="47" t="s">
        <v>33</v>
      </c>
      <c r="FG14" s="109" t="s">
        <v>121</v>
      </c>
      <c r="FH14" s="45" t="s">
        <v>121</v>
      </c>
      <c r="FI14" s="103" t="s">
        <v>121</v>
      </c>
      <c r="FJ14" s="105" t="s">
        <v>312</v>
      </c>
      <c r="FK14" s="99" t="s">
        <v>313</v>
      </c>
      <c r="FL14" s="115" t="s">
        <v>312</v>
      </c>
      <c r="FM14" s="99" t="s">
        <v>313</v>
      </c>
      <c r="FN14" s="99" t="s">
        <v>313</v>
      </c>
    </row>
    <row r="15" spans="1:170 16353:16353" x14ac:dyDescent="0.25">
      <c r="A15" s="51">
        <v>18</v>
      </c>
      <c r="B15" s="51">
        <v>18</v>
      </c>
      <c r="C15" s="51">
        <v>18</v>
      </c>
      <c r="D15" s="55" t="s">
        <v>312</v>
      </c>
      <c r="E15" s="55" t="s">
        <v>312</v>
      </c>
      <c r="F15" s="55" t="s">
        <v>312</v>
      </c>
      <c r="G15" s="51">
        <v>21</v>
      </c>
      <c r="H15" s="51">
        <v>18</v>
      </c>
      <c r="I15" s="61" t="s">
        <v>312</v>
      </c>
      <c r="J15" s="55" t="s">
        <v>312</v>
      </c>
      <c r="K15" s="55" t="s">
        <v>312</v>
      </c>
      <c r="L15" s="51">
        <v>18</v>
      </c>
      <c r="M15" s="51">
        <v>18</v>
      </c>
      <c r="N15" s="55" t="s">
        <v>312</v>
      </c>
      <c r="O15" s="70" t="s">
        <v>312</v>
      </c>
      <c r="P15" s="70" t="s">
        <v>312</v>
      </c>
      <c r="Q15" s="45">
        <v>36</v>
      </c>
      <c r="R15" s="45">
        <v>36</v>
      </c>
      <c r="S15" s="45">
        <v>36</v>
      </c>
      <c r="T15" s="45">
        <v>36</v>
      </c>
      <c r="U15" s="45">
        <v>18</v>
      </c>
      <c r="V15" s="55" t="s">
        <v>312</v>
      </c>
      <c r="W15" s="55" t="s">
        <v>312</v>
      </c>
      <c r="X15" s="45">
        <v>18</v>
      </c>
      <c r="Y15" s="45">
        <v>18</v>
      </c>
      <c r="Z15" s="45">
        <v>24</v>
      </c>
      <c r="AA15" s="55" t="s">
        <v>312</v>
      </c>
      <c r="AB15" s="55" t="s">
        <v>312</v>
      </c>
      <c r="AC15" s="45">
        <v>36</v>
      </c>
      <c r="AD15" s="45">
        <v>36</v>
      </c>
      <c r="AE15" s="45">
        <v>36</v>
      </c>
      <c r="AF15" s="45">
        <v>36</v>
      </c>
      <c r="AG15" s="70" t="s">
        <v>313</v>
      </c>
      <c r="AH15" s="70" t="s">
        <v>313</v>
      </c>
      <c r="AI15" s="70" t="s">
        <v>313</v>
      </c>
      <c r="AJ15" s="77" t="s">
        <v>313</v>
      </c>
      <c r="AK15" s="52" t="s">
        <v>313</v>
      </c>
      <c r="AL15" s="70" t="s">
        <v>313</v>
      </c>
      <c r="AM15" s="70" t="s">
        <v>313</v>
      </c>
      <c r="AN15" s="70" t="s">
        <v>313</v>
      </c>
      <c r="AO15" s="77" t="s">
        <v>313</v>
      </c>
      <c r="AP15" s="77" t="s">
        <v>313</v>
      </c>
      <c r="AQ15" s="47" t="s">
        <v>23</v>
      </c>
      <c r="AR15" s="47" t="s">
        <v>23</v>
      </c>
      <c r="AS15" s="47" t="s">
        <v>23</v>
      </c>
      <c r="AT15" s="47" t="s">
        <v>23</v>
      </c>
      <c r="AU15" s="47" t="s">
        <v>23</v>
      </c>
      <c r="AV15" s="47" t="s">
        <v>23</v>
      </c>
      <c r="AW15" s="47" t="s">
        <v>36</v>
      </c>
      <c r="AX15" s="47" t="s">
        <v>36</v>
      </c>
      <c r="AY15" s="47" t="s">
        <v>36</v>
      </c>
      <c r="AZ15" s="47" t="s">
        <v>36</v>
      </c>
      <c r="BA15" s="47" t="s">
        <v>36</v>
      </c>
      <c r="BB15" s="47" t="s">
        <v>36</v>
      </c>
      <c r="BC15" s="47" t="s">
        <v>36</v>
      </c>
      <c r="BD15" s="47" t="s">
        <v>36</v>
      </c>
      <c r="BE15" s="47" t="s">
        <v>36</v>
      </c>
      <c r="BF15" s="47" t="s">
        <v>36</v>
      </c>
      <c r="BG15" s="47" t="s">
        <v>36</v>
      </c>
      <c r="BH15" s="47" t="s">
        <v>36</v>
      </c>
      <c r="BI15" s="47" t="s">
        <v>36</v>
      </c>
      <c r="BJ15" s="47" t="s">
        <v>36</v>
      </c>
      <c r="BK15" s="51">
        <v>9</v>
      </c>
      <c r="BL15" s="51">
        <v>9</v>
      </c>
      <c r="BM15" s="51">
        <v>9</v>
      </c>
      <c r="BN15" s="45">
        <v>12</v>
      </c>
      <c r="BP15" s="45">
        <v>12</v>
      </c>
      <c r="BR15" s="45">
        <v>12</v>
      </c>
      <c r="BS15" s="51">
        <v>18</v>
      </c>
      <c r="BT15" s="51">
        <v>18</v>
      </c>
      <c r="BU15" s="51">
        <v>18</v>
      </c>
      <c r="BV15" s="51">
        <v>24</v>
      </c>
      <c r="BW15" s="60">
        <v>48</v>
      </c>
      <c r="BX15" s="60">
        <v>48</v>
      </c>
      <c r="BY15" s="46" t="s">
        <v>22</v>
      </c>
      <c r="BZ15" s="60">
        <v>48</v>
      </c>
      <c r="CA15" s="60">
        <v>48</v>
      </c>
      <c r="CB15" s="60">
        <v>48</v>
      </c>
      <c r="CC15" s="46" t="s">
        <v>22</v>
      </c>
      <c r="CD15" s="60">
        <v>48</v>
      </c>
      <c r="CE15" s="55" t="s">
        <v>314</v>
      </c>
      <c r="CF15" s="55" t="s">
        <v>314</v>
      </c>
      <c r="CG15" s="55" t="s">
        <v>314</v>
      </c>
      <c r="CH15" s="55" t="s">
        <v>314</v>
      </c>
      <c r="CI15" s="45">
        <v>21</v>
      </c>
      <c r="CJ15" s="45">
        <v>21</v>
      </c>
      <c r="CK15" s="45">
        <v>21</v>
      </c>
      <c r="CL15" s="45">
        <v>21</v>
      </c>
      <c r="CM15" s="45">
        <v>21</v>
      </c>
      <c r="CN15" s="45">
        <v>21</v>
      </c>
      <c r="CO15" s="45">
        <v>21</v>
      </c>
      <c r="CP15" s="45">
        <v>21</v>
      </c>
      <c r="CQ15" s="55" t="s">
        <v>312</v>
      </c>
      <c r="CR15" s="55" t="s">
        <v>312</v>
      </c>
      <c r="CS15" s="55" t="s">
        <v>312</v>
      </c>
      <c r="CT15" s="55" t="s">
        <v>312</v>
      </c>
      <c r="CU15" s="45">
        <v>21</v>
      </c>
      <c r="CV15" s="45">
        <v>21</v>
      </c>
      <c r="CW15" s="45">
        <v>21</v>
      </c>
      <c r="CX15" s="45">
        <v>21</v>
      </c>
      <c r="CY15" s="45">
        <v>21</v>
      </c>
      <c r="CZ15" s="45">
        <v>43</v>
      </c>
      <c r="DA15" s="45">
        <v>43</v>
      </c>
      <c r="DB15" s="45">
        <v>43</v>
      </c>
      <c r="DC15" s="45">
        <v>43</v>
      </c>
      <c r="DD15" s="45">
        <v>21</v>
      </c>
      <c r="DE15" s="45">
        <v>21</v>
      </c>
      <c r="DF15" s="45">
        <v>21</v>
      </c>
      <c r="DG15" s="45">
        <v>24</v>
      </c>
      <c r="DH15" s="45">
        <v>24</v>
      </c>
      <c r="DI15" s="77" t="s">
        <v>313</v>
      </c>
      <c r="DJ15" s="45">
        <v>24</v>
      </c>
      <c r="DK15" s="45">
        <v>24</v>
      </c>
      <c r="DL15" s="45">
        <v>43</v>
      </c>
      <c r="DM15" s="45">
        <v>43</v>
      </c>
      <c r="DN15" s="45">
        <v>43</v>
      </c>
      <c r="DO15" s="51">
        <v>11</v>
      </c>
      <c r="DP15" s="51">
        <v>11</v>
      </c>
      <c r="DQ15" s="45">
        <v>14</v>
      </c>
      <c r="DR15" s="45">
        <v>14</v>
      </c>
      <c r="DS15" s="45">
        <v>14</v>
      </c>
      <c r="DT15" s="51">
        <v>11</v>
      </c>
      <c r="DU15" s="51">
        <v>11</v>
      </c>
      <c r="DV15" s="45">
        <v>14</v>
      </c>
      <c r="DW15" s="45">
        <v>14</v>
      </c>
      <c r="DX15" s="45">
        <v>14</v>
      </c>
      <c r="DY15" s="74" t="s">
        <v>72</v>
      </c>
      <c r="DZ15" s="74" t="s">
        <v>72</v>
      </c>
      <c r="EA15" s="74" t="s">
        <v>72</v>
      </c>
      <c r="EB15" s="74" t="s">
        <v>22</v>
      </c>
      <c r="EJ15" s="74" t="s">
        <v>72</v>
      </c>
      <c r="EU15" s="99" t="s">
        <v>313</v>
      </c>
      <c r="EV15" s="99" t="s">
        <v>313</v>
      </c>
      <c r="EW15" s="106" t="s">
        <v>313</v>
      </c>
      <c r="EX15" s="107" t="s">
        <v>32</v>
      </c>
      <c r="EY15" s="47" t="s">
        <v>23</v>
      </c>
      <c r="EZ15" s="47" t="s">
        <v>23</v>
      </c>
      <c r="FA15" s="112" t="s">
        <v>313</v>
      </c>
      <c r="FB15" s="99" t="s">
        <v>313</v>
      </c>
      <c r="FC15" s="106" t="s">
        <v>313</v>
      </c>
      <c r="FD15" s="107" t="s">
        <v>32</v>
      </c>
      <c r="FE15" s="47" t="s">
        <v>23</v>
      </c>
      <c r="FF15" s="47" t="s">
        <v>23</v>
      </c>
      <c r="FG15" s="109" t="s">
        <v>123</v>
      </c>
      <c r="FH15" s="45" t="s">
        <v>123</v>
      </c>
      <c r="FI15" s="103" t="s">
        <v>123</v>
      </c>
      <c r="FJ15" s="103" t="s">
        <v>72</v>
      </c>
      <c r="FK15" s="47" t="s">
        <v>22</v>
      </c>
      <c r="FL15" s="51" t="s">
        <v>72</v>
      </c>
      <c r="FM15" s="47" t="s">
        <v>22</v>
      </c>
      <c r="FN15" s="47" t="s">
        <v>22</v>
      </c>
    </row>
    <row r="16" spans="1:170 16353:16353" x14ac:dyDescent="0.25">
      <c r="A16" s="51">
        <v>21</v>
      </c>
      <c r="B16" s="51">
        <v>21</v>
      </c>
      <c r="C16" s="51">
        <v>21</v>
      </c>
      <c r="D16" s="51">
        <v>18</v>
      </c>
      <c r="E16" s="51">
        <v>18</v>
      </c>
      <c r="F16" s="51">
        <v>18</v>
      </c>
      <c r="G16" s="51">
        <v>24</v>
      </c>
      <c r="H16" s="51">
        <v>21</v>
      </c>
      <c r="I16" s="45">
        <v>18</v>
      </c>
      <c r="J16" s="51">
        <v>144</v>
      </c>
      <c r="K16" s="51">
        <v>24</v>
      </c>
      <c r="L16" s="51">
        <v>21</v>
      </c>
      <c r="M16" s="51">
        <v>21</v>
      </c>
      <c r="N16" s="45">
        <v>18</v>
      </c>
      <c r="O16" s="69">
        <v>18</v>
      </c>
      <c r="P16" s="45">
        <v>18</v>
      </c>
      <c r="Q16" s="45">
        <v>43</v>
      </c>
      <c r="R16" s="45">
        <v>43</v>
      </c>
      <c r="S16" s="45">
        <v>43</v>
      </c>
      <c r="T16" s="45">
        <v>43</v>
      </c>
      <c r="U16" s="45">
        <v>21</v>
      </c>
      <c r="V16" s="45">
        <v>18</v>
      </c>
      <c r="W16" s="45">
        <v>18</v>
      </c>
      <c r="X16" s="45">
        <v>24</v>
      </c>
      <c r="Y16" s="45">
        <v>24</v>
      </c>
      <c r="Z16" s="60" t="s">
        <v>200</v>
      </c>
      <c r="AA16" s="45">
        <v>18</v>
      </c>
      <c r="AB16" s="45">
        <v>18</v>
      </c>
      <c r="AC16" s="45">
        <v>43</v>
      </c>
      <c r="AD16" s="45">
        <v>43</v>
      </c>
      <c r="AE16" s="45">
        <v>43</v>
      </c>
      <c r="AF16" s="45">
        <v>43</v>
      </c>
      <c r="AG16" s="45" t="s">
        <v>22</v>
      </c>
      <c r="AH16" s="45" t="s">
        <v>22</v>
      </c>
      <c r="AI16" s="45" t="s">
        <v>22</v>
      </c>
      <c r="AJ16" s="51" t="s">
        <v>22</v>
      </c>
      <c r="AK16" s="51" t="s">
        <v>22</v>
      </c>
      <c r="AL16" s="45" t="s">
        <v>22</v>
      </c>
      <c r="AM16" s="45" t="s">
        <v>22</v>
      </c>
      <c r="AN16" s="45" t="s">
        <v>22</v>
      </c>
      <c r="AO16" s="51" t="s">
        <v>22</v>
      </c>
      <c r="AP16" s="51" t="s">
        <v>22</v>
      </c>
      <c r="AQ16" s="47" t="s">
        <v>36</v>
      </c>
      <c r="AR16" s="47" t="s">
        <v>36</v>
      </c>
      <c r="AS16" s="47" t="s">
        <v>36</v>
      </c>
      <c r="AT16" s="47" t="s">
        <v>36</v>
      </c>
      <c r="AU16" s="47" t="s">
        <v>36</v>
      </c>
      <c r="AV16" s="47" t="s">
        <v>36</v>
      </c>
      <c r="AW16" s="47" t="s">
        <v>24</v>
      </c>
      <c r="AX16" s="47" t="s">
        <v>24</v>
      </c>
      <c r="AY16" s="47" t="s">
        <v>24</v>
      </c>
      <c r="AZ16" s="47" t="s">
        <v>24</v>
      </c>
      <c r="BA16" s="47" t="s">
        <v>24</v>
      </c>
      <c r="BB16" s="47" t="s">
        <v>24</v>
      </c>
      <c r="BC16" s="47" t="s">
        <v>24</v>
      </c>
      <c r="BD16" s="47" t="s">
        <v>24</v>
      </c>
      <c r="BE16" s="47" t="s">
        <v>24</v>
      </c>
      <c r="BF16" s="47" t="s">
        <v>24</v>
      </c>
      <c r="BG16" s="47" t="s">
        <v>24</v>
      </c>
      <c r="BH16" s="47" t="s">
        <v>24</v>
      </c>
      <c r="BI16" s="47" t="s">
        <v>24</v>
      </c>
      <c r="BJ16" s="47" t="s">
        <v>24</v>
      </c>
      <c r="BK16" s="51">
        <v>12</v>
      </c>
      <c r="BL16" s="51">
        <v>12</v>
      </c>
      <c r="BM16" s="51">
        <v>12</v>
      </c>
      <c r="BN16" s="45">
        <v>18</v>
      </c>
      <c r="BP16" s="45">
        <v>18</v>
      </c>
      <c r="BR16" s="45">
        <v>18</v>
      </c>
      <c r="BS16" s="51">
        <v>24</v>
      </c>
      <c r="BT16" s="51">
        <v>24</v>
      </c>
      <c r="BU16" s="52">
        <v>24</v>
      </c>
      <c r="BV16" s="51">
        <v>36</v>
      </c>
      <c r="BW16" s="77" t="s">
        <v>313</v>
      </c>
      <c r="BX16" s="77" t="s">
        <v>313</v>
      </c>
      <c r="BY16" s="55" t="s">
        <v>314</v>
      </c>
      <c r="BZ16" s="77" t="s">
        <v>313</v>
      </c>
      <c r="CA16" s="77" t="s">
        <v>313</v>
      </c>
      <c r="CB16" s="77" t="s">
        <v>313</v>
      </c>
      <c r="CC16" s="55" t="s">
        <v>314</v>
      </c>
      <c r="CD16" s="77" t="s">
        <v>313</v>
      </c>
      <c r="CE16" s="47" t="s">
        <v>262</v>
      </c>
      <c r="CF16" s="47" t="s">
        <v>262</v>
      </c>
      <c r="CG16" s="47" t="s">
        <v>262</v>
      </c>
      <c r="CH16" s="47" t="s">
        <v>262</v>
      </c>
      <c r="CI16" s="45">
        <v>24</v>
      </c>
      <c r="CJ16" s="45">
        <v>24</v>
      </c>
      <c r="CK16" s="45">
        <v>24</v>
      </c>
      <c r="CL16" s="45">
        <v>24</v>
      </c>
      <c r="CM16" s="45">
        <v>24</v>
      </c>
      <c r="CN16" s="45">
        <v>24</v>
      </c>
      <c r="CO16" s="45">
        <v>24</v>
      </c>
      <c r="CP16" s="45">
        <v>24</v>
      </c>
      <c r="CQ16" s="51">
        <v>18</v>
      </c>
      <c r="CR16" s="51">
        <v>18</v>
      </c>
      <c r="CS16" s="51">
        <v>144</v>
      </c>
      <c r="CT16" s="51">
        <v>24</v>
      </c>
      <c r="CU16" s="45">
        <v>24</v>
      </c>
      <c r="CV16" s="45">
        <v>24</v>
      </c>
      <c r="CW16" s="45">
        <v>24</v>
      </c>
      <c r="CX16" s="45">
        <v>24</v>
      </c>
      <c r="CY16" s="45">
        <v>24</v>
      </c>
      <c r="CZ16" s="45">
        <v>48</v>
      </c>
      <c r="DA16" s="45">
        <v>48</v>
      </c>
      <c r="DB16" s="45">
        <v>48</v>
      </c>
      <c r="DC16" s="45">
        <v>48</v>
      </c>
      <c r="DD16" s="45">
        <v>24</v>
      </c>
      <c r="DE16" s="45">
        <v>24</v>
      </c>
      <c r="DF16" s="45">
        <v>24</v>
      </c>
      <c r="DG16" s="45">
        <v>36</v>
      </c>
      <c r="DH16" s="45">
        <v>36</v>
      </c>
      <c r="DI16" s="47" t="s">
        <v>22</v>
      </c>
      <c r="DJ16" s="45">
        <v>36</v>
      </c>
      <c r="DK16" s="45">
        <v>36</v>
      </c>
      <c r="DL16" s="45">
        <v>48</v>
      </c>
      <c r="DM16" s="45">
        <v>48</v>
      </c>
      <c r="DN16" s="45">
        <v>48</v>
      </c>
      <c r="DO16" s="51">
        <v>12</v>
      </c>
      <c r="DP16" s="51">
        <v>12</v>
      </c>
      <c r="DQ16" s="45">
        <v>18</v>
      </c>
      <c r="DR16" s="45">
        <v>18</v>
      </c>
      <c r="DS16" s="45">
        <v>18</v>
      </c>
      <c r="DT16" s="51">
        <v>12</v>
      </c>
      <c r="DU16" s="51">
        <v>12</v>
      </c>
      <c r="DV16" s="45">
        <v>18</v>
      </c>
      <c r="DW16" s="45">
        <v>18</v>
      </c>
      <c r="DX16" s="45">
        <v>18</v>
      </c>
      <c r="EB16" s="80" t="s">
        <v>314</v>
      </c>
      <c r="EU16" s="47" t="s">
        <v>22</v>
      </c>
      <c r="EV16" s="47" t="s">
        <v>22</v>
      </c>
      <c r="EW16" s="107" t="s">
        <v>22</v>
      </c>
      <c r="EX16" s="107" t="s">
        <v>33</v>
      </c>
      <c r="EY16" s="47" t="s">
        <v>36</v>
      </c>
      <c r="EZ16" s="47" t="s">
        <v>36</v>
      </c>
      <c r="FA16" s="113" t="s">
        <v>22</v>
      </c>
      <c r="FB16" s="47" t="s">
        <v>22</v>
      </c>
      <c r="FC16" s="107" t="s">
        <v>22</v>
      </c>
      <c r="FD16" s="107" t="s">
        <v>33</v>
      </c>
      <c r="FE16" s="47" t="s">
        <v>36</v>
      </c>
      <c r="FF16" s="47" t="s">
        <v>36</v>
      </c>
      <c r="FG16" s="111" t="s">
        <v>312</v>
      </c>
      <c r="FH16" s="98" t="s">
        <v>312</v>
      </c>
      <c r="FI16" s="105" t="s">
        <v>312</v>
      </c>
      <c r="FJ16" s="106" t="s">
        <v>313</v>
      </c>
      <c r="FK16" s="47" t="s">
        <v>32</v>
      </c>
      <c r="FL16" s="82" t="s">
        <v>313</v>
      </c>
      <c r="FM16" s="47" t="s">
        <v>32</v>
      </c>
      <c r="FN16" s="47" t="s">
        <v>32</v>
      </c>
    </row>
    <row r="17" spans="1:170 16353:16353" x14ac:dyDescent="0.25">
      <c r="A17" s="51">
        <v>24</v>
      </c>
      <c r="B17" s="51">
        <v>24</v>
      </c>
      <c r="C17" s="51">
        <v>24</v>
      </c>
      <c r="D17" s="51">
        <v>21</v>
      </c>
      <c r="E17" s="51">
        <v>21</v>
      </c>
      <c r="F17" s="51">
        <v>21</v>
      </c>
      <c r="G17" s="51">
        <v>29</v>
      </c>
      <c r="H17" s="51">
        <v>24</v>
      </c>
      <c r="I17" s="45">
        <v>21</v>
      </c>
      <c r="J17" s="51">
        <v>173</v>
      </c>
      <c r="K17" s="51">
        <v>29</v>
      </c>
      <c r="L17" s="51">
        <v>24</v>
      </c>
      <c r="M17" s="51">
        <v>24</v>
      </c>
      <c r="N17" s="45">
        <v>21</v>
      </c>
      <c r="O17" s="69">
        <v>21</v>
      </c>
      <c r="P17" s="45">
        <v>21</v>
      </c>
      <c r="Q17" s="45">
        <v>48</v>
      </c>
      <c r="R17" s="45">
        <v>48</v>
      </c>
      <c r="S17" s="45">
        <v>48</v>
      </c>
      <c r="T17" s="45">
        <v>48</v>
      </c>
      <c r="U17" s="45">
        <v>24</v>
      </c>
      <c r="V17" s="45">
        <v>21</v>
      </c>
      <c r="W17" s="45">
        <v>21</v>
      </c>
      <c r="X17" s="45">
        <v>36</v>
      </c>
      <c r="Y17" s="45">
        <v>36</v>
      </c>
      <c r="Z17" s="70" t="s">
        <v>313</v>
      </c>
      <c r="AA17" s="45">
        <v>24</v>
      </c>
      <c r="AB17" s="45">
        <v>24</v>
      </c>
      <c r="AC17" s="45">
        <v>48</v>
      </c>
      <c r="AD17" s="45">
        <v>48</v>
      </c>
      <c r="AE17" s="45">
        <v>48</v>
      </c>
      <c r="AF17" s="45">
        <v>48</v>
      </c>
      <c r="AG17" s="45" t="s">
        <v>32</v>
      </c>
      <c r="AH17" s="45" t="s">
        <v>32</v>
      </c>
      <c r="AI17" s="45" t="s">
        <v>32</v>
      </c>
      <c r="AJ17" s="51" t="s">
        <v>32</v>
      </c>
      <c r="AK17" s="51" t="s">
        <v>32</v>
      </c>
      <c r="AL17" s="45" t="s">
        <v>32</v>
      </c>
      <c r="AM17" s="45" t="s">
        <v>32</v>
      </c>
      <c r="AN17" s="45" t="s">
        <v>32</v>
      </c>
      <c r="AO17" s="51" t="s">
        <v>32</v>
      </c>
      <c r="AP17" s="51" t="s">
        <v>32</v>
      </c>
      <c r="AQ17" s="47" t="s">
        <v>24</v>
      </c>
      <c r="AR17" s="47" t="s">
        <v>24</v>
      </c>
      <c r="AS17" s="47" t="s">
        <v>24</v>
      </c>
      <c r="AT17" s="47" t="s">
        <v>24</v>
      </c>
      <c r="AU17" s="47" t="s">
        <v>24</v>
      </c>
      <c r="AV17" s="47" t="s">
        <v>24</v>
      </c>
      <c r="AW17" s="47" t="s">
        <v>25</v>
      </c>
      <c r="AX17" s="47" t="s">
        <v>25</v>
      </c>
      <c r="AY17" s="47" t="s">
        <v>25</v>
      </c>
      <c r="AZ17" s="47" t="s">
        <v>25</v>
      </c>
      <c r="BA17" s="47" t="s">
        <v>25</v>
      </c>
      <c r="BB17" s="47" t="s">
        <v>25</v>
      </c>
      <c r="BC17" s="47" t="s">
        <v>25</v>
      </c>
      <c r="BD17" s="47" t="s">
        <v>25</v>
      </c>
      <c r="BE17" s="47" t="s">
        <v>25</v>
      </c>
      <c r="BF17" s="47" t="s">
        <v>25</v>
      </c>
      <c r="BG17" s="47" t="s">
        <v>25</v>
      </c>
      <c r="BH17" s="47" t="s">
        <v>25</v>
      </c>
      <c r="BI17" s="47" t="s">
        <v>25</v>
      </c>
      <c r="BJ17" s="47" t="s">
        <v>25</v>
      </c>
      <c r="BK17" s="51">
        <v>18</v>
      </c>
      <c r="BL17" s="51">
        <v>18</v>
      </c>
      <c r="BM17" s="51">
        <v>18</v>
      </c>
      <c r="BN17" s="45">
        <v>24</v>
      </c>
      <c r="BP17" s="45">
        <v>24</v>
      </c>
      <c r="BR17" s="45">
        <v>24</v>
      </c>
      <c r="BS17" s="51">
        <v>36</v>
      </c>
      <c r="BT17" s="51">
        <v>36</v>
      </c>
      <c r="BU17" s="77" t="s">
        <v>313</v>
      </c>
      <c r="BV17" s="52">
        <v>48</v>
      </c>
      <c r="BW17" s="46" t="s">
        <v>22</v>
      </c>
      <c r="BX17" s="46" t="s">
        <v>22</v>
      </c>
      <c r="BY17" s="45" t="s">
        <v>417</v>
      </c>
      <c r="BZ17" s="46" t="s">
        <v>22</v>
      </c>
      <c r="CA17" s="46" t="s">
        <v>22</v>
      </c>
      <c r="CB17" s="46" t="s">
        <v>22</v>
      </c>
      <c r="CC17" s="45" t="s">
        <v>417</v>
      </c>
      <c r="CD17" s="46" t="s">
        <v>22</v>
      </c>
      <c r="CI17" s="45">
        <v>29</v>
      </c>
      <c r="CJ17" s="45">
        <v>29</v>
      </c>
      <c r="CK17" s="45">
        <v>29</v>
      </c>
      <c r="CL17" s="45">
        <v>29</v>
      </c>
      <c r="CM17" s="45">
        <v>29</v>
      </c>
      <c r="CN17" s="45">
        <v>29</v>
      </c>
      <c r="CO17" s="45">
        <v>29</v>
      </c>
      <c r="CP17" s="45">
        <v>29</v>
      </c>
      <c r="CQ17" s="51">
        <v>21</v>
      </c>
      <c r="CR17" s="51">
        <v>21</v>
      </c>
      <c r="CS17" s="51">
        <v>173</v>
      </c>
      <c r="CT17" s="52">
        <v>29</v>
      </c>
      <c r="CU17" s="45">
        <v>29</v>
      </c>
      <c r="CV17" s="45">
        <v>29</v>
      </c>
      <c r="CW17" s="45">
        <v>29</v>
      </c>
      <c r="CX17" s="45">
        <v>29</v>
      </c>
      <c r="CY17" s="45">
        <v>29</v>
      </c>
      <c r="CZ17" s="60">
        <v>57</v>
      </c>
      <c r="DA17" s="60">
        <v>57</v>
      </c>
      <c r="DB17" s="45">
        <v>57</v>
      </c>
      <c r="DC17" s="45">
        <v>57</v>
      </c>
      <c r="DD17" s="45">
        <v>29</v>
      </c>
      <c r="DE17" s="45">
        <v>29</v>
      </c>
      <c r="DF17" s="45">
        <v>29</v>
      </c>
      <c r="DG17" s="60">
        <v>48</v>
      </c>
      <c r="DH17" s="60">
        <v>48</v>
      </c>
      <c r="DI17" s="47" t="s">
        <v>32</v>
      </c>
      <c r="DJ17" s="60">
        <v>48</v>
      </c>
      <c r="DK17" s="60">
        <v>48</v>
      </c>
      <c r="DL17" s="60">
        <v>57</v>
      </c>
      <c r="DM17" s="60">
        <v>57</v>
      </c>
      <c r="DN17" s="45">
        <v>57</v>
      </c>
      <c r="DO17" s="51">
        <v>14</v>
      </c>
      <c r="DP17" s="51">
        <v>14</v>
      </c>
      <c r="DQ17" s="45">
        <v>21</v>
      </c>
      <c r="DR17" s="45">
        <v>21</v>
      </c>
      <c r="DS17" s="45">
        <v>21</v>
      </c>
      <c r="DT17" s="51">
        <v>14</v>
      </c>
      <c r="DU17" s="51">
        <v>14</v>
      </c>
      <c r="DV17" s="45">
        <v>21</v>
      </c>
      <c r="DW17" s="45">
        <v>21</v>
      </c>
      <c r="DX17" s="45">
        <v>21</v>
      </c>
      <c r="EB17" s="74" t="s">
        <v>72</v>
      </c>
      <c r="EU17" s="47" t="s">
        <v>32</v>
      </c>
      <c r="EV17" s="47" t="s">
        <v>32</v>
      </c>
      <c r="EW17" s="107" t="s">
        <v>32</v>
      </c>
      <c r="EX17" s="107" t="s">
        <v>23</v>
      </c>
      <c r="EY17" s="47" t="s">
        <v>24</v>
      </c>
      <c r="EZ17" s="47" t="s">
        <v>24</v>
      </c>
      <c r="FA17" s="113" t="s">
        <v>32</v>
      </c>
      <c r="FB17" s="47" t="s">
        <v>32</v>
      </c>
      <c r="FC17" s="107" t="s">
        <v>32</v>
      </c>
      <c r="FD17" s="107" t="s">
        <v>23</v>
      </c>
      <c r="FE17" s="47" t="s">
        <v>24</v>
      </c>
      <c r="FF17" s="47" t="s">
        <v>24</v>
      </c>
      <c r="FG17" s="109" t="s">
        <v>72</v>
      </c>
      <c r="FH17" s="45" t="s">
        <v>72</v>
      </c>
      <c r="FI17" s="103" t="s">
        <v>72</v>
      </c>
      <c r="FJ17" s="107" t="s">
        <v>22</v>
      </c>
      <c r="FK17" s="47" t="s">
        <v>33</v>
      </c>
      <c r="FL17" s="72" t="s">
        <v>22</v>
      </c>
      <c r="FM17" s="47" t="s">
        <v>33</v>
      </c>
      <c r="FN17" s="47" t="s">
        <v>33</v>
      </c>
    </row>
    <row r="18" spans="1:170 16353:16353" x14ac:dyDescent="0.25">
      <c r="A18" s="51">
        <v>29</v>
      </c>
      <c r="B18" s="51">
        <v>29</v>
      </c>
      <c r="C18" s="51">
        <v>29</v>
      </c>
      <c r="D18" s="51">
        <v>24</v>
      </c>
      <c r="E18" s="51">
        <v>24</v>
      </c>
      <c r="F18" s="51">
        <v>24</v>
      </c>
      <c r="G18" s="51">
        <v>36</v>
      </c>
      <c r="H18" s="51">
        <v>29</v>
      </c>
      <c r="I18" s="45">
        <v>24</v>
      </c>
      <c r="J18" s="51">
        <v>192</v>
      </c>
      <c r="K18" s="52" t="s">
        <v>200</v>
      </c>
      <c r="L18" s="51">
        <v>29</v>
      </c>
      <c r="M18" s="51">
        <v>29</v>
      </c>
      <c r="N18" s="45">
        <v>24</v>
      </c>
      <c r="O18" s="69">
        <v>24</v>
      </c>
      <c r="P18" s="45">
        <v>24</v>
      </c>
      <c r="Q18" s="45">
        <v>57</v>
      </c>
      <c r="R18" s="45">
        <v>57</v>
      </c>
      <c r="S18" s="45">
        <v>57</v>
      </c>
      <c r="T18" s="45">
        <v>57</v>
      </c>
      <c r="U18" s="45">
        <v>29</v>
      </c>
      <c r="V18" s="45">
        <v>24</v>
      </c>
      <c r="W18" s="45">
        <v>24</v>
      </c>
      <c r="X18" s="45">
        <v>48</v>
      </c>
      <c r="Y18" s="45">
        <v>48</v>
      </c>
      <c r="Z18" s="51" t="s">
        <v>22</v>
      </c>
      <c r="AA18" s="45">
        <v>36</v>
      </c>
      <c r="AB18" s="45">
        <v>36</v>
      </c>
      <c r="AC18" s="45">
        <v>57</v>
      </c>
      <c r="AD18" s="45">
        <v>57</v>
      </c>
      <c r="AE18" s="45">
        <v>57</v>
      </c>
      <c r="AF18" s="45">
        <v>57</v>
      </c>
      <c r="AG18" s="45" t="s">
        <v>33</v>
      </c>
      <c r="AH18" s="45" t="s">
        <v>33</v>
      </c>
      <c r="AI18" s="45" t="s">
        <v>33</v>
      </c>
      <c r="AJ18" s="51" t="s">
        <v>33</v>
      </c>
      <c r="AK18" s="51" t="s">
        <v>33</v>
      </c>
      <c r="AL18" s="45" t="s">
        <v>33</v>
      </c>
      <c r="AM18" s="45" t="s">
        <v>33</v>
      </c>
      <c r="AN18" s="45" t="s">
        <v>33</v>
      </c>
      <c r="AO18" s="51" t="s">
        <v>33</v>
      </c>
      <c r="AP18" s="51" t="s">
        <v>33</v>
      </c>
      <c r="AQ18" s="47" t="s">
        <v>25</v>
      </c>
      <c r="AR18" s="47" t="s">
        <v>25</v>
      </c>
      <c r="AS18" s="47" t="s">
        <v>25</v>
      </c>
      <c r="AT18" s="47" t="s">
        <v>25</v>
      </c>
      <c r="AU18" s="47" t="s">
        <v>25</v>
      </c>
      <c r="AV18" s="47" t="s">
        <v>25</v>
      </c>
      <c r="AW18" s="47" t="s">
        <v>34</v>
      </c>
      <c r="AX18" s="47" t="s">
        <v>34</v>
      </c>
      <c r="AY18" s="47" t="s">
        <v>34</v>
      </c>
      <c r="AZ18" s="47" t="s">
        <v>34</v>
      </c>
      <c r="BA18" s="47" t="s">
        <v>34</v>
      </c>
      <c r="BB18" s="47" t="s">
        <v>34</v>
      </c>
      <c r="BC18" s="47" t="s">
        <v>34</v>
      </c>
      <c r="BD18" s="47" t="s">
        <v>34</v>
      </c>
      <c r="BE18" s="47" t="s">
        <v>34</v>
      </c>
      <c r="BF18" s="47" t="s">
        <v>34</v>
      </c>
      <c r="BG18" s="47" t="s">
        <v>34</v>
      </c>
      <c r="BH18" s="47" t="s">
        <v>34</v>
      </c>
      <c r="BI18" s="47" t="s">
        <v>34</v>
      </c>
      <c r="BJ18" s="47" t="s">
        <v>34</v>
      </c>
      <c r="BK18" s="51">
        <v>24</v>
      </c>
      <c r="BL18" s="51">
        <v>24</v>
      </c>
      <c r="BM18" s="51">
        <v>24</v>
      </c>
      <c r="BN18" s="45">
        <v>36</v>
      </c>
      <c r="BP18" s="45">
        <v>36</v>
      </c>
      <c r="BR18" s="45">
        <v>36</v>
      </c>
      <c r="BS18" s="52">
        <v>48</v>
      </c>
      <c r="BT18" s="52">
        <v>48</v>
      </c>
      <c r="BU18" s="52" t="s">
        <v>22</v>
      </c>
      <c r="BV18" s="77" t="s">
        <v>313</v>
      </c>
      <c r="BW18" s="55" t="s">
        <v>314</v>
      </c>
      <c r="BX18" s="55" t="s">
        <v>314</v>
      </c>
      <c r="BZ18" s="55" t="s">
        <v>314</v>
      </c>
      <c r="CA18" s="55" t="s">
        <v>314</v>
      </c>
      <c r="CB18" s="55" t="s">
        <v>314</v>
      </c>
      <c r="CD18" s="55" t="s">
        <v>314</v>
      </c>
      <c r="CI18" s="45">
        <v>36</v>
      </c>
      <c r="CJ18" s="45">
        <v>36</v>
      </c>
      <c r="CK18" s="45">
        <v>36</v>
      </c>
      <c r="CL18" s="45">
        <v>36</v>
      </c>
      <c r="CM18" s="45">
        <v>36</v>
      </c>
      <c r="CN18" s="45">
        <v>36</v>
      </c>
      <c r="CO18" s="45">
        <v>36</v>
      </c>
      <c r="CP18" s="45">
        <v>36</v>
      </c>
      <c r="CQ18" s="51">
        <v>24</v>
      </c>
      <c r="CR18" s="51">
        <v>24</v>
      </c>
      <c r="CS18" s="51">
        <v>192</v>
      </c>
      <c r="CT18" s="77" t="s">
        <v>313</v>
      </c>
      <c r="CU18" s="45">
        <v>36</v>
      </c>
      <c r="CV18" s="45">
        <v>36</v>
      </c>
      <c r="CW18" s="45">
        <v>36</v>
      </c>
      <c r="CX18" s="45">
        <v>36</v>
      </c>
      <c r="CY18" s="45">
        <v>36</v>
      </c>
      <c r="CZ18" s="77" t="s">
        <v>313</v>
      </c>
      <c r="DA18" s="77" t="s">
        <v>313</v>
      </c>
      <c r="DB18" s="45">
        <v>72</v>
      </c>
      <c r="DC18" s="45">
        <v>72</v>
      </c>
      <c r="DD18" s="45">
        <v>36</v>
      </c>
      <c r="DE18" s="45">
        <v>36</v>
      </c>
      <c r="DF18" s="45">
        <v>36</v>
      </c>
      <c r="DG18" s="77" t="s">
        <v>313</v>
      </c>
      <c r="DH18" s="77" t="s">
        <v>313</v>
      </c>
      <c r="DI18" s="47" t="s">
        <v>33</v>
      </c>
      <c r="DJ18" s="77" t="s">
        <v>313</v>
      </c>
      <c r="DK18" s="77" t="s">
        <v>313</v>
      </c>
      <c r="DL18" s="77" t="s">
        <v>313</v>
      </c>
      <c r="DM18" s="77" t="s">
        <v>313</v>
      </c>
      <c r="DN18" s="45">
        <v>72</v>
      </c>
      <c r="DO18" s="51">
        <v>18</v>
      </c>
      <c r="DP18" s="51">
        <v>18</v>
      </c>
      <c r="DQ18" s="45">
        <v>24</v>
      </c>
      <c r="DR18" s="45">
        <v>24</v>
      </c>
      <c r="DS18" s="45">
        <v>24</v>
      </c>
      <c r="DT18" s="51">
        <v>18</v>
      </c>
      <c r="DU18" s="51">
        <v>18</v>
      </c>
      <c r="DV18" s="45">
        <v>24</v>
      </c>
      <c r="DW18" s="45">
        <v>24</v>
      </c>
      <c r="DX18" s="45">
        <v>24</v>
      </c>
      <c r="EU18" s="47" t="s">
        <v>33</v>
      </c>
      <c r="EV18" s="47" t="s">
        <v>33</v>
      </c>
      <c r="EW18" s="107" t="s">
        <v>33</v>
      </c>
      <c r="EX18" s="107" t="s">
        <v>36</v>
      </c>
      <c r="EY18" s="47" t="s">
        <v>25</v>
      </c>
      <c r="EZ18" s="47" t="s">
        <v>25</v>
      </c>
      <c r="FA18" s="113" t="s">
        <v>33</v>
      </c>
      <c r="FB18" s="47" t="s">
        <v>33</v>
      </c>
      <c r="FC18" s="107" t="s">
        <v>33</v>
      </c>
      <c r="FD18" s="107" t="s">
        <v>36</v>
      </c>
      <c r="FE18" s="47" t="s">
        <v>25</v>
      </c>
      <c r="FF18" s="47" t="s">
        <v>25</v>
      </c>
      <c r="FG18" s="112" t="s">
        <v>313</v>
      </c>
      <c r="FH18" s="99" t="s">
        <v>313</v>
      </c>
      <c r="FI18" s="106" t="s">
        <v>313</v>
      </c>
      <c r="FJ18" s="107" t="s">
        <v>32</v>
      </c>
      <c r="FK18" s="47" t="s">
        <v>23</v>
      </c>
      <c r="FL18" s="72" t="s">
        <v>32</v>
      </c>
      <c r="FM18" s="47" t="s">
        <v>23</v>
      </c>
      <c r="FN18" s="47" t="s">
        <v>23</v>
      </c>
    </row>
    <row r="19" spans="1:170 16353:16353" x14ac:dyDescent="0.25">
      <c r="A19" s="51">
        <v>36</v>
      </c>
      <c r="B19" s="51">
        <v>36</v>
      </c>
      <c r="C19" s="52" t="s">
        <v>200</v>
      </c>
      <c r="D19" s="51">
        <v>29</v>
      </c>
      <c r="E19" s="51">
        <v>29</v>
      </c>
      <c r="F19" s="51">
        <v>29</v>
      </c>
      <c r="G19" s="51">
        <v>43</v>
      </c>
      <c r="H19" s="51">
        <v>36</v>
      </c>
      <c r="I19" s="45">
        <v>29</v>
      </c>
      <c r="J19" s="51">
        <v>230</v>
      </c>
      <c r="K19" s="55" t="s">
        <v>313</v>
      </c>
      <c r="L19" s="51">
        <v>36</v>
      </c>
      <c r="M19" s="51">
        <v>36</v>
      </c>
      <c r="N19" s="45">
        <v>29</v>
      </c>
      <c r="O19" s="69">
        <v>29</v>
      </c>
      <c r="P19" s="45">
        <v>29</v>
      </c>
      <c r="Q19" s="60" t="s">
        <v>200</v>
      </c>
      <c r="R19" s="60" t="s">
        <v>200</v>
      </c>
      <c r="S19" s="45">
        <v>72</v>
      </c>
      <c r="T19" s="45">
        <v>72</v>
      </c>
      <c r="U19" s="45">
        <v>36</v>
      </c>
      <c r="V19" s="45">
        <v>29</v>
      </c>
      <c r="W19" s="45">
        <v>29</v>
      </c>
      <c r="X19" s="60" t="s">
        <v>200</v>
      </c>
      <c r="Y19" s="60" t="s">
        <v>200</v>
      </c>
      <c r="Z19" s="51" t="s">
        <v>32</v>
      </c>
      <c r="AA19" s="45">
        <v>48</v>
      </c>
      <c r="AB19" s="45">
        <v>48</v>
      </c>
      <c r="AC19" s="60" t="s">
        <v>200</v>
      </c>
      <c r="AD19" s="60" t="s">
        <v>200</v>
      </c>
      <c r="AE19" s="45">
        <v>72</v>
      </c>
      <c r="AF19" s="45">
        <v>72</v>
      </c>
      <c r="AG19" s="45" t="s">
        <v>23</v>
      </c>
      <c r="AH19" s="45" t="s">
        <v>23</v>
      </c>
      <c r="AI19" s="45" t="s">
        <v>23</v>
      </c>
      <c r="AJ19" s="51" t="s">
        <v>23</v>
      </c>
      <c r="AK19" s="51" t="s">
        <v>23</v>
      </c>
      <c r="AL19" s="45" t="s">
        <v>23</v>
      </c>
      <c r="AM19" s="45" t="s">
        <v>23</v>
      </c>
      <c r="AN19" s="45" t="s">
        <v>23</v>
      </c>
      <c r="AO19" s="51" t="s">
        <v>23</v>
      </c>
      <c r="AP19" s="51" t="s">
        <v>23</v>
      </c>
      <c r="AQ19" s="47" t="s">
        <v>34</v>
      </c>
      <c r="AR19" s="47" t="s">
        <v>34</v>
      </c>
      <c r="AS19" s="47" t="s">
        <v>34</v>
      </c>
      <c r="AT19" s="47" t="s">
        <v>34</v>
      </c>
      <c r="AU19" s="47" t="s">
        <v>34</v>
      </c>
      <c r="AV19" s="47" t="s">
        <v>34</v>
      </c>
      <c r="AW19" s="47" t="s">
        <v>35</v>
      </c>
      <c r="AX19" s="47" t="s">
        <v>35</v>
      </c>
      <c r="AY19" s="47" t="s">
        <v>35</v>
      </c>
      <c r="AZ19" s="47" t="s">
        <v>35</v>
      </c>
      <c r="BA19" s="47" t="s">
        <v>35</v>
      </c>
      <c r="BB19" s="47" t="s">
        <v>35</v>
      </c>
      <c r="BC19" s="47" t="s">
        <v>35</v>
      </c>
      <c r="BD19" s="47" t="s">
        <v>35</v>
      </c>
      <c r="BE19" s="47" t="s">
        <v>35</v>
      </c>
      <c r="BF19" s="47" t="s">
        <v>35</v>
      </c>
      <c r="BG19" s="47" t="s">
        <v>35</v>
      </c>
      <c r="BH19" s="47" t="s">
        <v>35</v>
      </c>
      <c r="BI19" s="47" t="s">
        <v>35</v>
      </c>
      <c r="BJ19" s="47" t="s">
        <v>35</v>
      </c>
      <c r="BK19" s="51">
        <v>36</v>
      </c>
      <c r="BL19" s="51">
        <v>36</v>
      </c>
      <c r="BM19" s="51">
        <v>36</v>
      </c>
      <c r="BN19" s="45">
        <v>48</v>
      </c>
      <c r="BP19" s="45">
        <v>48</v>
      </c>
      <c r="BR19" s="45">
        <v>48</v>
      </c>
      <c r="BS19" s="77" t="s">
        <v>313</v>
      </c>
      <c r="BT19" s="77" t="s">
        <v>313</v>
      </c>
      <c r="BU19" s="55" t="s">
        <v>314</v>
      </c>
      <c r="BV19" s="46" t="s">
        <v>22</v>
      </c>
      <c r="BW19" s="45" t="s">
        <v>417</v>
      </c>
      <c r="BX19" s="45" t="s">
        <v>417</v>
      </c>
      <c r="BZ19" s="45" t="s">
        <v>417</v>
      </c>
      <c r="CA19" s="45" t="s">
        <v>417</v>
      </c>
      <c r="CB19" s="45" t="s">
        <v>417</v>
      </c>
      <c r="CD19" s="45" t="s">
        <v>417</v>
      </c>
      <c r="CI19" s="45">
        <v>43</v>
      </c>
      <c r="CJ19" s="45">
        <v>43</v>
      </c>
      <c r="CK19" s="45">
        <v>43</v>
      </c>
      <c r="CL19" s="45">
        <v>43</v>
      </c>
      <c r="CM19" s="45">
        <v>43</v>
      </c>
      <c r="CN19" s="45">
        <v>43</v>
      </c>
      <c r="CO19" s="45">
        <v>43</v>
      </c>
      <c r="CP19" s="45">
        <v>43</v>
      </c>
      <c r="CQ19" s="51">
        <v>29</v>
      </c>
      <c r="CR19" s="51">
        <v>29</v>
      </c>
      <c r="CS19" s="52">
        <v>230</v>
      </c>
      <c r="CT19" s="51" t="s">
        <v>22</v>
      </c>
      <c r="CU19" s="45">
        <v>43</v>
      </c>
      <c r="CV19" s="45">
        <v>43</v>
      </c>
      <c r="CW19" s="45">
        <v>43</v>
      </c>
      <c r="CX19" s="45">
        <v>43</v>
      </c>
      <c r="CY19" s="45">
        <v>43</v>
      </c>
      <c r="CZ19" s="47" t="s">
        <v>22</v>
      </c>
      <c r="DA19" s="47" t="s">
        <v>22</v>
      </c>
      <c r="DB19" s="60">
        <v>86</v>
      </c>
      <c r="DC19" s="60">
        <v>86</v>
      </c>
      <c r="DD19" s="45">
        <v>43</v>
      </c>
      <c r="DE19" s="45">
        <v>43</v>
      </c>
      <c r="DF19" s="45">
        <v>43</v>
      </c>
      <c r="DG19" s="47" t="s">
        <v>22</v>
      </c>
      <c r="DH19" s="47" t="s">
        <v>22</v>
      </c>
      <c r="DI19" s="47" t="s">
        <v>23</v>
      </c>
      <c r="DJ19" s="47" t="s">
        <v>22</v>
      </c>
      <c r="DK19" s="47" t="s">
        <v>22</v>
      </c>
      <c r="DL19" s="47" t="s">
        <v>22</v>
      </c>
      <c r="DM19" s="47" t="s">
        <v>22</v>
      </c>
      <c r="DN19" s="60">
        <v>86</v>
      </c>
      <c r="DO19" s="51">
        <v>21</v>
      </c>
      <c r="DP19" s="51">
        <v>21</v>
      </c>
      <c r="DQ19" s="45">
        <v>29</v>
      </c>
      <c r="DR19" s="45">
        <v>29</v>
      </c>
      <c r="DS19" s="45">
        <v>29</v>
      </c>
      <c r="DT19" s="51">
        <v>21</v>
      </c>
      <c r="DU19" s="51">
        <v>21</v>
      </c>
      <c r="DV19" s="45">
        <v>29</v>
      </c>
      <c r="DW19" s="45">
        <v>29</v>
      </c>
      <c r="DX19" s="45">
        <v>29</v>
      </c>
      <c r="EU19" s="47" t="s">
        <v>23</v>
      </c>
      <c r="EV19" s="47" t="s">
        <v>23</v>
      </c>
      <c r="EW19" s="107" t="s">
        <v>23</v>
      </c>
      <c r="EX19" s="107" t="s">
        <v>24</v>
      </c>
      <c r="EY19" s="47" t="s">
        <v>34</v>
      </c>
      <c r="EZ19" s="47" t="s">
        <v>34</v>
      </c>
      <c r="FA19" s="113" t="s">
        <v>23</v>
      </c>
      <c r="FB19" s="47" t="s">
        <v>23</v>
      </c>
      <c r="FC19" s="107" t="s">
        <v>23</v>
      </c>
      <c r="FD19" s="107" t="s">
        <v>24</v>
      </c>
      <c r="FE19" s="47" t="s">
        <v>34</v>
      </c>
      <c r="FF19" s="47" t="s">
        <v>34</v>
      </c>
      <c r="FG19" s="113" t="s">
        <v>22</v>
      </c>
      <c r="FH19" s="47" t="s">
        <v>22</v>
      </c>
      <c r="FI19" s="107" t="s">
        <v>22</v>
      </c>
      <c r="FJ19" s="107" t="s">
        <v>33</v>
      </c>
      <c r="FK19" s="47" t="s">
        <v>36</v>
      </c>
      <c r="FL19" s="72" t="s">
        <v>33</v>
      </c>
      <c r="FM19" s="47" t="s">
        <v>36</v>
      </c>
      <c r="FN19" s="47" t="s">
        <v>36</v>
      </c>
    </row>
    <row r="20" spans="1:170 16353:16353" x14ac:dyDescent="0.25">
      <c r="A20" s="51">
        <v>43</v>
      </c>
      <c r="B20" s="51">
        <v>43</v>
      </c>
      <c r="C20" s="55" t="s">
        <v>313</v>
      </c>
      <c r="D20" s="51">
        <v>36</v>
      </c>
      <c r="E20" s="51">
        <v>36</v>
      </c>
      <c r="F20" s="51">
        <v>36</v>
      </c>
      <c r="G20" s="51">
        <v>48</v>
      </c>
      <c r="H20" s="51">
        <v>43</v>
      </c>
      <c r="I20" s="45">
        <v>36</v>
      </c>
      <c r="J20" s="52" t="s">
        <v>200</v>
      </c>
      <c r="K20" s="51" t="s">
        <v>22</v>
      </c>
      <c r="L20" s="51">
        <v>43</v>
      </c>
      <c r="M20" s="51">
        <v>43</v>
      </c>
      <c r="N20" s="45">
        <v>36</v>
      </c>
      <c r="O20" s="69">
        <v>36</v>
      </c>
      <c r="P20" s="45">
        <v>36</v>
      </c>
      <c r="Q20" s="70" t="s">
        <v>313</v>
      </c>
      <c r="R20" s="70" t="s">
        <v>313</v>
      </c>
      <c r="S20" s="45">
        <v>86</v>
      </c>
      <c r="T20" s="45">
        <v>86</v>
      </c>
      <c r="U20" s="45">
        <v>43</v>
      </c>
      <c r="V20" s="45">
        <v>36</v>
      </c>
      <c r="W20" s="45">
        <v>36</v>
      </c>
      <c r="X20" s="70" t="s">
        <v>313</v>
      </c>
      <c r="Y20" s="70" t="s">
        <v>313</v>
      </c>
      <c r="Z20" s="51" t="s">
        <v>33</v>
      </c>
      <c r="AA20" s="60" t="s">
        <v>200</v>
      </c>
      <c r="AB20" s="60" t="s">
        <v>200</v>
      </c>
      <c r="AC20" s="70" t="s">
        <v>313</v>
      </c>
      <c r="AD20" s="70" t="s">
        <v>313</v>
      </c>
      <c r="AE20" s="45">
        <v>86</v>
      </c>
      <c r="AF20" s="45">
        <v>86</v>
      </c>
      <c r="AG20" s="45" t="s">
        <v>36</v>
      </c>
      <c r="AH20" s="45" t="s">
        <v>36</v>
      </c>
      <c r="AI20" s="45" t="s">
        <v>36</v>
      </c>
      <c r="AJ20" s="51" t="s">
        <v>36</v>
      </c>
      <c r="AK20" s="51" t="s">
        <v>36</v>
      </c>
      <c r="AL20" s="45" t="s">
        <v>36</v>
      </c>
      <c r="AM20" s="45" t="s">
        <v>36</v>
      </c>
      <c r="AN20" s="45" t="s">
        <v>36</v>
      </c>
      <c r="AO20" s="51" t="s">
        <v>36</v>
      </c>
      <c r="AP20" s="51" t="s">
        <v>36</v>
      </c>
      <c r="AQ20" s="47" t="s">
        <v>35</v>
      </c>
      <c r="AR20" s="47" t="s">
        <v>35</v>
      </c>
      <c r="AS20" s="47" t="s">
        <v>35</v>
      </c>
      <c r="AT20" s="47" t="s">
        <v>35</v>
      </c>
      <c r="AU20" s="47" t="s">
        <v>35</v>
      </c>
      <c r="AV20" s="47" t="s">
        <v>35</v>
      </c>
      <c r="AW20" s="47" t="s">
        <v>154</v>
      </c>
      <c r="AX20" s="47" t="s">
        <v>154</v>
      </c>
      <c r="AY20" s="47" t="s">
        <v>154</v>
      </c>
      <c r="AZ20" s="47" t="s">
        <v>154</v>
      </c>
      <c r="BA20" s="47" t="s">
        <v>154</v>
      </c>
      <c r="BB20" s="47" t="s">
        <v>154</v>
      </c>
      <c r="BC20" s="47" t="s">
        <v>154</v>
      </c>
      <c r="BD20" s="47" t="s">
        <v>154</v>
      </c>
      <c r="BE20" s="47" t="s">
        <v>154</v>
      </c>
      <c r="BF20" s="47" t="s">
        <v>154</v>
      </c>
      <c r="BG20" s="47" t="s">
        <v>154</v>
      </c>
      <c r="BH20" s="47" t="s">
        <v>154</v>
      </c>
      <c r="BI20" s="47" t="s">
        <v>154</v>
      </c>
      <c r="BJ20" s="47" t="s">
        <v>154</v>
      </c>
      <c r="BK20" s="51">
        <v>48</v>
      </c>
      <c r="BL20" s="51">
        <v>48</v>
      </c>
      <c r="BM20" s="51">
        <v>48</v>
      </c>
      <c r="BN20" s="45">
        <v>72</v>
      </c>
      <c r="BP20" s="45">
        <v>72</v>
      </c>
      <c r="BR20" s="45">
        <v>72</v>
      </c>
      <c r="BS20" s="52" t="s">
        <v>22</v>
      </c>
      <c r="BT20" s="52" t="s">
        <v>22</v>
      </c>
      <c r="BU20" s="45" t="s">
        <v>417</v>
      </c>
      <c r="BV20" s="55" t="s">
        <v>314</v>
      </c>
      <c r="BZ20" s="45" t="s">
        <v>418</v>
      </c>
      <c r="CD20" s="45" t="s">
        <v>418</v>
      </c>
      <c r="CI20" s="45">
        <v>48</v>
      </c>
      <c r="CJ20" s="45">
        <v>48</v>
      </c>
      <c r="CK20" s="45">
        <v>48</v>
      </c>
      <c r="CL20" s="45">
        <v>48</v>
      </c>
      <c r="CM20" s="45">
        <v>48</v>
      </c>
      <c r="CN20" s="45">
        <v>48</v>
      </c>
      <c r="CO20" s="45">
        <v>48</v>
      </c>
      <c r="CP20" s="45">
        <v>48</v>
      </c>
      <c r="CQ20" s="51">
        <v>36</v>
      </c>
      <c r="CR20" s="51">
        <v>36</v>
      </c>
      <c r="CS20" s="77" t="s">
        <v>313</v>
      </c>
      <c r="CT20" s="51" t="s">
        <v>32</v>
      </c>
      <c r="CU20" s="45">
        <v>48</v>
      </c>
      <c r="CV20" s="45">
        <v>48</v>
      </c>
      <c r="CW20" s="45">
        <v>48</v>
      </c>
      <c r="CX20" s="45">
        <v>48</v>
      </c>
      <c r="CY20" s="45">
        <v>48</v>
      </c>
      <c r="CZ20" s="47" t="s">
        <v>32</v>
      </c>
      <c r="DA20" s="47" t="s">
        <v>32</v>
      </c>
      <c r="DB20" s="77" t="s">
        <v>313</v>
      </c>
      <c r="DC20" s="77" t="s">
        <v>313</v>
      </c>
      <c r="DD20" s="45">
        <v>48</v>
      </c>
      <c r="DE20" s="45">
        <v>48</v>
      </c>
      <c r="DF20" s="45">
        <v>48</v>
      </c>
      <c r="DG20" s="47" t="s">
        <v>32</v>
      </c>
      <c r="DH20" s="47" t="s">
        <v>32</v>
      </c>
      <c r="DI20" s="47" t="s">
        <v>36</v>
      </c>
      <c r="DJ20" s="47" t="s">
        <v>32</v>
      </c>
      <c r="DK20" s="47" t="s">
        <v>32</v>
      </c>
      <c r="DL20" s="47" t="s">
        <v>32</v>
      </c>
      <c r="DM20" s="47" t="s">
        <v>32</v>
      </c>
      <c r="DN20" s="77" t="s">
        <v>313</v>
      </c>
      <c r="DO20" s="51">
        <v>24</v>
      </c>
      <c r="DP20" s="51">
        <v>24</v>
      </c>
      <c r="DQ20" s="45">
        <v>36</v>
      </c>
      <c r="DR20" s="45">
        <v>36</v>
      </c>
      <c r="DS20" s="45">
        <v>36</v>
      </c>
      <c r="DT20" s="51">
        <v>24</v>
      </c>
      <c r="DU20" s="51">
        <v>24</v>
      </c>
      <c r="DV20" s="45">
        <v>36</v>
      </c>
      <c r="DW20" s="45">
        <v>36</v>
      </c>
      <c r="DX20" s="45">
        <v>36</v>
      </c>
      <c r="EU20" s="47" t="s">
        <v>36</v>
      </c>
      <c r="EV20" s="47" t="s">
        <v>36</v>
      </c>
      <c r="EW20" s="107" t="s">
        <v>36</v>
      </c>
      <c r="EX20" s="107" t="s">
        <v>25</v>
      </c>
      <c r="EY20" s="47" t="s">
        <v>35</v>
      </c>
      <c r="EZ20" s="47" t="s">
        <v>35</v>
      </c>
      <c r="FA20" s="113" t="s">
        <v>36</v>
      </c>
      <c r="FB20" s="47" t="s">
        <v>36</v>
      </c>
      <c r="FC20" s="107" t="s">
        <v>36</v>
      </c>
      <c r="FD20" s="107" t="s">
        <v>25</v>
      </c>
      <c r="FE20" s="47" t="s">
        <v>35</v>
      </c>
      <c r="FF20" s="47" t="s">
        <v>35</v>
      </c>
      <c r="FG20" s="113" t="s">
        <v>32</v>
      </c>
      <c r="FH20" s="47" t="s">
        <v>32</v>
      </c>
      <c r="FI20" s="107" t="s">
        <v>32</v>
      </c>
      <c r="FJ20" s="107" t="s">
        <v>23</v>
      </c>
      <c r="FK20" s="47" t="s">
        <v>24</v>
      </c>
      <c r="FL20" s="72" t="s">
        <v>23</v>
      </c>
      <c r="FM20" s="47" t="s">
        <v>24</v>
      </c>
      <c r="FN20" s="47" t="s">
        <v>24</v>
      </c>
    </row>
    <row r="21" spans="1:170 16353:16353" x14ac:dyDescent="0.25">
      <c r="A21" s="51">
        <v>48</v>
      </c>
      <c r="B21" s="51">
        <v>48</v>
      </c>
      <c r="C21" s="51" t="s">
        <v>22</v>
      </c>
      <c r="D21" s="51">
        <v>43</v>
      </c>
      <c r="E21" s="51">
        <v>43</v>
      </c>
      <c r="F21" s="51">
        <v>43</v>
      </c>
      <c r="G21" s="51">
        <v>57</v>
      </c>
      <c r="H21" s="51">
        <v>48</v>
      </c>
      <c r="I21" s="45">
        <v>43</v>
      </c>
      <c r="J21" s="54" t="s">
        <v>313</v>
      </c>
      <c r="K21" s="51" t="s">
        <v>32</v>
      </c>
      <c r="L21" s="51">
        <v>48</v>
      </c>
      <c r="M21" s="51">
        <v>48</v>
      </c>
      <c r="N21" s="45">
        <v>43</v>
      </c>
      <c r="O21" s="69">
        <v>43</v>
      </c>
      <c r="P21" s="45">
        <v>43</v>
      </c>
      <c r="Q21" s="51" t="s">
        <v>22</v>
      </c>
      <c r="R21" s="51" t="s">
        <v>22</v>
      </c>
      <c r="S21" s="60" t="s">
        <v>200</v>
      </c>
      <c r="T21" s="60" t="s">
        <v>200</v>
      </c>
      <c r="U21" s="45">
        <v>48</v>
      </c>
      <c r="V21" s="45">
        <v>43</v>
      </c>
      <c r="W21" s="45">
        <v>43</v>
      </c>
      <c r="X21" s="51" t="s">
        <v>22</v>
      </c>
      <c r="Y21" s="51" t="s">
        <v>22</v>
      </c>
      <c r="Z21" s="51" t="s">
        <v>23</v>
      </c>
      <c r="AA21" s="70" t="s">
        <v>313</v>
      </c>
      <c r="AB21" s="70" t="s">
        <v>313</v>
      </c>
      <c r="AC21" s="51" t="s">
        <v>22</v>
      </c>
      <c r="AD21" s="51" t="s">
        <v>22</v>
      </c>
      <c r="AE21" s="60" t="s">
        <v>200</v>
      </c>
      <c r="AF21" s="60" t="s">
        <v>200</v>
      </c>
      <c r="AG21" s="45" t="s">
        <v>34</v>
      </c>
      <c r="AH21" s="45" t="s">
        <v>34</v>
      </c>
      <c r="AI21" s="45" t="s">
        <v>34</v>
      </c>
      <c r="AJ21" s="51" t="s">
        <v>34</v>
      </c>
      <c r="AK21" s="51" t="s">
        <v>34</v>
      </c>
      <c r="AL21" s="45" t="s">
        <v>34</v>
      </c>
      <c r="AM21" s="45" t="s">
        <v>34</v>
      </c>
      <c r="AN21" s="45" t="s">
        <v>34</v>
      </c>
      <c r="AO21" s="51" t="s">
        <v>34</v>
      </c>
      <c r="AP21" s="51" t="s">
        <v>34</v>
      </c>
      <c r="AQ21" s="47" t="s">
        <v>258</v>
      </c>
      <c r="AR21" s="47" t="s">
        <v>258</v>
      </c>
      <c r="AS21" s="47" t="s">
        <v>258</v>
      </c>
      <c r="AT21" s="47" t="s">
        <v>258</v>
      </c>
      <c r="AU21" s="47" t="s">
        <v>258</v>
      </c>
      <c r="AV21" s="47" t="s">
        <v>258</v>
      </c>
      <c r="AW21" s="47" t="s">
        <v>261</v>
      </c>
      <c r="AX21" s="47" t="s">
        <v>261</v>
      </c>
      <c r="AY21" s="47" t="s">
        <v>261</v>
      </c>
      <c r="AZ21" s="47" t="s">
        <v>261</v>
      </c>
      <c r="BA21" s="47" t="s">
        <v>261</v>
      </c>
      <c r="BB21" s="47" t="s">
        <v>261</v>
      </c>
      <c r="BC21" s="47" t="s">
        <v>261</v>
      </c>
      <c r="BD21" s="47" t="s">
        <v>261</v>
      </c>
      <c r="BE21" s="47" t="s">
        <v>261</v>
      </c>
      <c r="BF21" s="47" t="s">
        <v>261</v>
      </c>
      <c r="BG21" s="47" t="s">
        <v>261</v>
      </c>
      <c r="BH21" s="47" t="s">
        <v>261</v>
      </c>
      <c r="BI21" s="47" t="s">
        <v>261</v>
      </c>
      <c r="BJ21" s="47" t="s">
        <v>261</v>
      </c>
      <c r="BK21" s="51">
        <v>72</v>
      </c>
      <c r="BL21" s="51">
        <v>72</v>
      </c>
      <c r="BM21" s="51">
        <v>72</v>
      </c>
      <c r="BN21" s="45">
        <v>96</v>
      </c>
      <c r="BP21" s="45">
        <v>96</v>
      </c>
      <c r="BR21" s="45">
        <v>96</v>
      </c>
      <c r="BS21" s="55" t="s">
        <v>314</v>
      </c>
      <c r="BT21" s="55" t="s">
        <v>314</v>
      </c>
      <c r="BV21" s="45" t="s">
        <v>417</v>
      </c>
      <c r="BZ21" s="45" t="s">
        <v>413</v>
      </c>
      <c r="CD21" s="45" t="s">
        <v>413</v>
      </c>
      <c r="CI21" s="45">
        <v>57</v>
      </c>
      <c r="CJ21" s="45">
        <v>57</v>
      </c>
      <c r="CK21" s="45">
        <v>57</v>
      </c>
      <c r="CL21" s="45">
        <v>57</v>
      </c>
      <c r="CM21" s="45">
        <v>57</v>
      </c>
      <c r="CN21" s="45">
        <v>57</v>
      </c>
      <c r="CO21" s="45">
        <v>57</v>
      </c>
      <c r="CP21" s="45">
        <v>57</v>
      </c>
      <c r="CQ21" s="51">
        <v>43</v>
      </c>
      <c r="CR21" s="51">
        <v>43</v>
      </c>
      <c r="CS21" s="51" t="s">
        <v>22</v>
      </c>
      <c r="CT21" s="51" t="s">
        <v>33</v>
      </c>
      <c r="CU21" s="60">
        <v>57</v>
      </c>
      <c r="CV21" s="60">
        <v>57</v>
      </c>
      <c r="CW21" s="45">
        <v>57</v>
      </c>
      <c r="CX21" s="45">
        <v>57</v>
      </c>
      <c r="CY21" s="45">
        <v>57</v>
      </c>
      <c r="CZ21" s="47" t="s">
        <v>33</v>
      </c>
      <c r="DA21" s="47" t="s">
        <v>33</v>
      </c>
      <c r="DB21" s="47" t="s">
        <v>22</v>
      </c>
      <c r="DC21" s="47" t="s">
        <v>22</v>
      </c>
      <c r="DD21" s="45">
        <v>57</v>
      </c>
      <c r="DE21" s="45">
        <v>57</v>
      </c>
      <c r="DF21" s="45">
        <v>57</v>
      </c>
      <c r="DG21" s="47" t="s">
        <v>33</v>
      </c>
      <c r="DH21" s="47" t="s">
        <v>33</v>
      </c>
      <c r="DI21" s="47" t="s">
        <v>24</v>
      </c>
      <c r="DJ21" s="47" t="s">
        <v>33</v>
      </c>
      <c r="DK21" s="47" t="s">
        <v>33</v>
      </c>
      <c r="DL21" s="47" t="s">
        <v>33</v>
      </c>
      <c r="DM21" s="47" t="s">
        <v>33</v>
      </c>
      <c r="DN21" s="47" t="s">
        <v>22</v>
      </c>
      <c r="DO21" s="51">
        <v>29</v>
      </c>
      <c r="DP21" s="51">
        <v>29</v>
      </c>
      <c r="DQ21" s="45">
        <v>43</v>
      </c>
      <c r="DR21" s="45">
        <v>43</v>
      </c>
      <c r="DS21" s="45">
        <v>43</v>
      </c>
      <c r="DT21" s="51">
        <v>29</v>
      </c>
      <c r="DU21" s="51">
        <v>29</v>
      </c>
      <c r="DV21" s="45">
        <v>43</v>
      </c>
      <c r="DW21" s="45">
        <v>43</v>
      </c>
      <c r="DX21" s="45">
        <v>43</v>
      </c>
      <c r="EU21" s="47" t="s">
        <v>24</v>
      </c>
      <c r="EV21" s="47" t="s">
        <v>24</v>
      </c>
      <c r="EW21" s="107" t="s">
        <v>24</v>
      </c>
      <c r="EX21" s="107" t="s">
        <v>34</v>
      </c>
      <c r="EY21" s="47" t="s">
        <v>258</v>
      </c>
      <c r="EZ21" s="47" t="s">
        <v>258</v>
      </c>
      <c r="FA21" s="113" t="s">
        <v>24</v>
      </c>
      <c r="FB21" s="47" t="s">
        <v>24</v>
      </c>
      <c r="FC21" s="107" t="s">
        <v>24</v>
      </c>
      <c r="FD21" s="107" t="s">
        <v>34</v>
      </c>
      <c r="FE21" s="47" t="s">
        <v>258</v>
      </c>
      <c r="FF21" s="47" t="s">
        <v>258</v>
      </c>
      <c r="FG21" s="113" t="s">
        <v>33</v>
      </c>
      <c r="FH21" s="47" t="s">
        <v>33</v>
      </c>
      <c r="FI21" s="107" t="s">
        <v>33</v>
      </c>
      <c r="FJ21" s="107" t="s">
        <v>36</v>
      </c>
      <c r="FK21" s="47" t="s">
        <v>25</v>
      </c>
      <c r="FL21" s="72" t="s">
        <v>36</v>
      </c>
      <c r="FM21" s="47" t="s">
        <v>25</v>
      </c>
      <c r="FN21" s="47" t="s">
        <v>25</v>
      </c>
    </row>
    <row r="22" spans="1:170 16353:16353" x14ac:dyDescent="0.25">
      <c r="A22" s="51">
        <v>57</v>
      </c>
      <c r="B22" s="51">
        <v>57</v>
      </c>
      <c r="C22" s="51" t="s">
        <v>32</v>
      </c>
      <c r="D22" s="51">
        <v>48</v>
      </c>
      <c r="E22" s="51">
        <v>48</v>
      </c>
      <c r="F22" s="51">
        <v>48</v>
      </c>
      <c r="G22" s="51">
        <v>72</v>
      </c>
      <c r="H22" s="51">
        <v>57</v>
      </c>
      <c r="I22" s="45">
        <v>48</v>
      </c>
      <c r="J22" s="51" t="s">
        <v>22</v>
      </c>
      <c r="K22" s="51" t="s">
        <v>33</v>
      </c>
      <c r="L22" s="51">
        <v>57</v>
      </c>
      <c r="M22" s="51">
        <v>57</v>
      </c>
      <c r="N22" s="45">
        <v>48</v>
      </c>
      <c r="O22" s="69">
        <v>48</v>
      </c>
      <c r="P22" s="45">
        <v>48</v>
      </c>
      <c r="Q22" s="51" t="s">
        <v>32</v>
      </c>
      <c r="R22" s="51" t="s">
        <v>32</v>
      </c>
      <c r="S22" s="70" t="s">
        <v>313</v>
      </c>
      <c r="T22" s="70" t="s">
        <v>313</v>
      </c>
      <c r="U22" s="45">
        <v>57</v>
      </c>
      <c r="V22" s="45">
        <v>48</v>
      </c>
      <c r="W22" s="45">
        <v>48</v>
      </c>
      <c r="X22" s="51" t="s">
        <v>32</v>
      </c>
      <c r="Y22" s="51" t="s">
        <v>32</v>
      </c>
      <c r="Z22" s="51" t="s">
        <v>36</v>
      </c>
      <c r="AA22" s="51" t="s">
        <v>22</v>
      </c>
      <c r="AB22" s="51" t="s">
        <v>22</v>
      </c>
      <c r="AC22" s="51" t="s">
        <v>32</v>
      </c>
      <c r="AD22" s="51" t="s">
        <v>32</v>
      </c>
      <c r="AE22" s="70" t="s">
        <v>313</v>
      </c>
      <c r="AF22" s="70" t="s">
        <v>313</v>
      </c>
      <c r="AG22" s="60" t="s">
        <v>35</v>
      </c>
      <c r="AH22" s="60" t="s">
        <v>35</v>
      </c>
      <c r="AI22" s="60" t="s">
        <v>35</v>
      </c>
      <c r="AJ22" s="52" t="s">
        <v>35</v>
      </c>
      <c r="AK22" s="52" t="s">
        <v>35</v>
      </c>
      <c r="AL22" s="60" t="s">
        <v>35</v>
      </c>
      <c r="AM22" s="60" t="s">
        <v>35</v>
      </c>
      <c r="AN22" s="60" t="s">
        <v>35</v>
      </c>
      <c r="AO22" s="52" t="s">
        <v>35</v>
      </c>
      <c r="AP22" s="52" t="s">
        <v>35</v>
      </c>
      <c r="AQ22" s="47" t="s">
        <v>37</v>
      </c>
      <c r="AR22" s="47" t="s">
        <v>37</v>
      </c>
      <c r="AS22" s="47" t="s">
        <v>37</v>
      </c>
      <c r="AT22" s="47" t="s">
        <v>37</v>
      </c>
      <c r="AU22" s="47" t="s">
        <v>37</v>
      </c>
      <c r="AV22" s="47" t="s">
        <v>37</v>
      </c>
      <c r="AW22" s="76" t="s">
        <v>260</v>
      </c>
      <c r="AX22" s="76" t="s">
        <v>260</v>
      </c>
      <c r="AY22" s="76" t="s">
        <v>260</v>
      </c>
      <c r="AZ22" s="76" t="s">
        <v>260</v>
      </c>
      <c r="BA22" s="76" t="s">
        <v>260</v>
      </c>
      <c r="BB22" s="76" t="s">
        <v>260</v>
      </c>
      <c r="BC22" s="76" t="s">
        <v>260</v>
      </c>
      <c r="BD22" s="76" t="s">
        <v>260</v>
      </c>
      <c r="BE22" s="76" t="s">
        <v>260</v>
      </c>
      <c r="BF22" s="76" t="s">
        <v>260</v>
      </c>
      <c r="BG22" s="76" t="s">
        <v>260</v>
      </c>
      <c r="BH22" s="76" t="s">
        <v>260</v>
      </c>
      <c r="BI22" s="76" t="s">
        <v>260</v>
      </c>
      <c r="BJ22" s="76" t="s">
        <v>260</v>
      </c>
      <c r="BK22" s="51">
        <v>96</v>
      </c>
      <c r="BL22" s="51">
        <v>96</v>
      </c>
      <c r="BM22" s="51">
        <v>96</v>
      </c>
      <c r="BN22" s="45">
        <v>144</v>
      </c>
      <c r="BP22" s="45">
        <v>144</v>
      </c>
      <c r="BR22" s="45">
        <v>144</v>
      </c>
      <c r="BS22" s="45" t="s">
        <v>417</v>
      </c>
      <c r="BT22" s="45" t="s">
        <v>417</v>
      </c>
      <c r="BV22" s="45" t="s">
        <v>418</v>
      </c>
      <c r="CI22" s="45">
        <v>72</v>
      </c>
      <c r="CJ22" s="45">
        <v>72</v>
      </c>
      <c r="CK22" s="45">
        <v>72</v>
      </c>
      <c r="CL22" s="45">
        <v>72</v>
      </c>
      <c r="CM22" s="45">
        <v>72</v>
      </c>
      <c r="CN22" s="45">
        <v>72</v>
      </c>
      <c r="CO22" s="45">
        <v>72</v>
      </c>
      <c r="CP22" s="45">
        <v>72</v>
      </c>
      <c r="CQ22" s="51">
        <v>48</v>
      </c>
      <c r="CR22" s="51">
        <v>48</v>
      </c>
      <c r="CS22" s="51" t="s">
        <v>32</v>
      </c>
      <c r="CT22" s="51" t="s">
        <v>23</v>
      </c>
      <c r="CU22" s="77" t="s">
        <v>313</v>
      </c>
      <c r="CV22" s="77" t="s">
        <v>313</v>
      </c>
      <c r="CW22" s="45">
        <v>72</v>
      </c>
      <c r="CX22" s="45">
        <v>72</v>
      </c>
      <c r="CY22" s="45">
        <v>72</v>
      </c>
      <c r="CZ22" s="47" t="s">
        <v>23</v>
      </c>
      <c r="DA22" s="47" t="s">
        <v>23</v>
      </c>
      <c r="DB22" s="47" t="s">
        <v>32</v>
      </c>
      <c r="DC22" s="47" t="s">
        <v>32</v>
      </c>
      <c r="DD22" s="45">
        <v>72</v>
      </c>
      <c r="DE22" s="45">
        <v>72</v>
      </c>
      <c r="DF22" s="45">
        <v>72</v>
      </c>
      <c r="DG22" s="47" t="s">
        <v>23</v>
      </c>
      <c r="DH22" s="47" t="s">
        <v>23</v>
      </c>
      <c r="DI22" s="47" t="s">
        <v>25</v>
      </c>
      <c r="DJ22" s="47" t="s">
        <v>23</v>
      </c>
      <c r="DK22" s="47" t="s">
        <v>23</v>
      </c>
      <c r="DL22" s="47" t="s">
        <v>23</v>
      </c>
      <c r="DM22" s="47" t="s">
        <v>23</v>
      </c>
      <c r="DN22" s="47" t="s">
        <v>32</v>
      </c>
      <c r="DO22" s="51">
        <v>36</v>
      </c>
      <c r="DP22" s="51">
        <v>36</v>
      </c>
      <c r="DQ22" s="45">
        <v>48</v>
      </c>
      <c r="DR22" s="45">
        <v>48</v>
      </c>
      <c r="DS22" s="45">
        <v>48</v>
      </c>
      <c r="DT22" s="51">
        <v>36</v>
      </c>
      <c r="DU22" s="51">
        <v>36</v>
      </c>
      <c r="DV22" s="45">
        <v>48</v>
      </c>
      <c r="DW22" s="45">
        <v>48</v>
      </c>
      <c r="DX22" s="45">
        <v>48</v>
      </c>
      <c r="EU22" s="47" t="s">
        <v>25</v>
      </c>
      <c r="EV22" s="47" t="s">
        <v>25</v>
      </c>
      <c r="EW22" s="107" t="s">
        <v>25</v>
      </c>
      <c r="EX22" s="107" t="s">
        <v>35</v>
      </c>
      <c r="EY22" s="47" t="s">
        <v>37</v>
      </c>
      <c r="EZ22" s="47" t="s">
        <v>37</v>
      </c>
      <c r="FA22" s="113" t="s">
        <v>25</v>
      </c>
      <c r="FB22" s="47" t="s">
        <v>25</v>
      </c>
      <c r="FC22" s="107" t="s">
        <v>25</v>
      </c>
      <c r="FD22" s="107" t="s">
        <v>35</v>
      </c>
      <c r="FE22" s="47" t="s">
        <v>37</v>
      </c>
      <c r="FF22" s="47" t="s">
        <v>37</v>
      </c>
      <c r="FG22" s="113" t="s">
        <v>23</v>
      </c>
      <c r="FH22" s="47" t="s">
        <v>23</v>
      </c>
      <c r="FI22" s="107" t="s">
        <v>23</v>
      </c>
      <c r="FJ22" s="107" t="s">
        <v>24</v>
      </c>
      <c r="FK22" s="47" t="s">
        <v>34</v>
      </c>
      <c r="FL22" s="72" t="s">
        <v>24</v>
      </c>
      <c r="FM22" s="47" t="s">
        <v>34</v>
      </c>
      <c r="FN22" s="47" t="s">
        <v>34</v>
      </c>
    </row>
    <row r="23" spans="1:170 16353:16353" x14ac:dyDescent="0.25">
      <c r="A23" s="51">
        <v>72</v>
      </c>
      <c r="B23" s="51">
        <v>72</v>
      </c>
      <c r="C23" s="51" t="s">
        <v>33</v>
      </c>
      <c r="D23" s="51">
        <v>57</v>
      </c>
      <c r="E23" s="51">
        <v>57</v>
      </c>
      <c r="F23" s="51">
        <v>57</v>
      </c>
      <c r="G23" s="51">
        <v>86</v>
      </c>
      <c r="H23" s="51">
        <v>72</v>
      </c>
      <c r="I23" s="45">
        <v>57</v>
      </c>
      <c r="J23" s="51" t="s">
        <v>32</v>
      </c>
      <c r="K23" s="51" t="s">
        <v>23</v>
      </c>
      <c r="L23" s="52" t="s">
        <v>200</v>
      </c>
      <c r="M23" s="52" t="s">
        <v>200</v>
      </c>
      <c r="N23" s="45">
        <v>57</v>
      </c>
      <c r="O23" s="69">
        <v>57</v>
      </c>
      <c r="P23" s="45">
        <v>57</v>
      </c>
      <c r="Q23" s="51" t="s">
        <v>33</v>
      </c>
      <c r="R23" s="51" t="s">
        <v>33</v>
      </c>
      <c r="S23" s="51" t="s">
        <v>22</v>
      </c>
      <c r="T23" s="51" t="s">
        <v>22</v>
      </c>
      <c r="U23" s="45">
        <v>72</v>
      </c>
      <c r="V23" s="45">
        <v>57</v>
      </c>
      <c r="W23" s="45">
        <v>57</v>
      </c>
      <c r="X23" s="51" t="s">
        <v>33</v>
      </c>
      <c r="Y23" s="51" t="s">
        <v>33</v>
      </c>
      <c r="Z23" s="51" t="s">
        <v>34</v>
      </c>
      <c r="AA23" s="51" t="s">
        <v>32</v>
      </c>
      <c r="AB23" s="51" t="s">
        <v>32</v>
      </c>
      <c r="AC23" s="51" t="s">
        <v>33</v>
      </c>
      <c r="AD23" s="51" t="s">
        <v>33</v>
      </c>
      <c r="AE23" s="51" t="s">
        <v>22</v>
      </c>
      <c r="AF23" s="51" t="s">
        <v>22</v>
      </c>
      <c r="AG23" s="55" t="s">
        <v>314</v>
      </c>
      <c r="AH23" s="55" t="s">
        <v>314</v>
      </c>
      <c r="AI23" s="55" t="s">
        <v>314</v>
      </c>
      <c r="AJ23" s="55" t="s">
        <v>314</v>
      </c>
      <c r="AK23" s="55" t="s">
        <v>314</v>
      </c>
      <c r="AL23" s="55" t="s">
        <v>314</v>
      </c>
      <c r="AM23" s="55" t="s">
        <v>314</v>
      </c>
      <c r="AN23" s="55" t="s">
        <v>314</v>
      </c>
      <c r="AO23" s="55" t="s">
        <v>314</v>
      </c>
      <c r="AP23" s="55" t="s">
        <v>314</v>
      </c>
      <c r="AQ23" s="47" t="s">
        <v>38</v>
      </c>
      <c r="AR23" s="47" t="s">
        <v>38</v>
      </c>
      <c r="AS23" s="47" t="s">
        <v>38</v>
      </c>
      <c r="AT23" s="47" t="s">
        <v>38</v>
      </c>
      <c r="AU23" s="47" t="s">
        <v>38</v>
      </c>
      <c r="AV23" s="47" t="s">
        <v>38</v>
      </c>
      <c r="AW23" s="55" t="s">
        <v>314</v>
      </c>
      <c r="AX23" s="55" t="s">
        <v>314</v>
      </c>
      <c r="AY23" s="55" t="s">
        <v>314</v>
      </c>
      <c r="AZ23" s="55" t="s">
        <v>314</v>
      </c>
      <c r="BA23" s="55" t="s">
        <v>314</v>
      </c>
      <c r="BB23" s="55" t="s">
        <v>314</v>
      </c>
      <c r="BC23" s="55" t="s">
        <v>314</v>
      </c>
      <c r="BD23" s="55" t="s">
        <v>314</v>
      </c>
      <c r="BE23" s="55" t="s">
        <v>314</v>
      </c>
      <c r="BF23" s="55" t="s">
        <v>314</v>
      </c>
      <c r="BG23" s="55" t="s">
        <v>314</v>
      </c>
      <c r="BH23" s="55" t="s">
        <v>314</v>
      </c>
      <c r="BI23" s="55" t="s">
        <v>314</v>
      </c>
      <c r="BJ23" s="55" t="s">
        <v>314</v>
      </c>
      <c r="BK23" s="51">
        <v>144</v>
      </c>
      <c r="BL23" s="51">
        <v>144</v>
      </c>
      <c r="BM23" s="51">
        <v>144</v>
      </c>
      <c r="BN23" s="60">
        <v>192</v>
      </c>
      <c r="BP23" s="60">
        <v>192</v>
      </c>
      <c r="BR23" s="60">
        <v>192</v>
      </c>
      <c r="BV23" s="45" t="s">
        <v>413</v>
      </c>
      <c r="CI23" s="45">
        <v>86</v>
      </c>
      <c r="CJ23" s="45">
        <v>86</v>
      </c>
      <c r="CK23" s="45">
        <v>86</v>
      </c>
      <c r="CL23" s="60">
        <v>86</v>
      </c>
      <c r="CM23" s="45">
        <v>86</v>
      </c>
      <c r="CN23" s="45">
        <v>86</v>
      </c>
      <c r="CO23" s="45">
        <v>86</v>
      </c>
      <c r="CP23" s="45">
        <v>86</v>
      </c>
      <c r="CQ23" s="51">
        <v>57</v>
      </c>
      <c r="CR23" s="51">
        <v>57</v>
      </c>
      <c r="CS23" s="51" t="s">
        <v>33</v>
      </c>
      <c r="CT23" s="51" t="s">
        <v>36</v>
      </c>
      <c r="CU23" s="47" t="s">
        <v>22</v>
      </c>
      <c r="CV23" s="47" t="s">
        <v>22</v>
      </c>
      <c r="CW23" s="60">
        <v>86</v>
      </c>
      <c r="CX23" s="60">
        <v>86</v>
      </c>
      <c r="CY23" s="60">
        <v>86</v>
      </c>
      <c r="CZ23" s="47" t="s">
        <v>36</v>
      </c>
      <c r="DA23" s="47" t="s">
        <v>36</v>
      </c>
      <c r="DB23" s="47" t="s">
        <v>33</v>
      </c>
      <c r="DC23" s="47" t="s">
        <v>33</v>
      </c>
      <c r="DD23" s="45">
        <v>86</v>
      </c>
      <c r="DE23" s="45">
        <v>86</v>
      </c>
      <c r="DF23" s="45">
        <v>86</v>
      </c>
      <c r="DG23" s="47" t="s">
        <v>36</v>
      </c>
      <c r="DH23" s="47" t="s">
        <v>36</v>
      </c>
      <c r="DI23" s="47" t="s">
        <v>34</v>
      </c>
      <c r="DJ23" s="47" t="s">
        <v>36</v>
      </c>
      <c r="DK23" s="47" t="s">
        <v>36</v>
      </c>
      <c r="DL23" s="47" t="s">
        <v>36</v>
      </c>
      <c r="DM23" s="47" t="s">
        <v>36</v>
      </c>
      <c r="DN23" s="47" t="s">
        <v>33</v>
      </c>
      <c r="DO23" s="51">
        <v>43</v>
      </c>
      <c r="DP23" s="51">
        <v>43</v>
      </c>
      <c r="DQ23" s="45">
        <v>57</v>
      </c>
      <c r="DR23" s="45">
        <v>57</v>
      </c>
      <c r="DS23" s="45">
        <v>57</v>
      </c>
      <c r="DT23" s="51">
        <v>43</v>
      </c>
      <c r="DU23" s="51">
        <v>43</v>
      </c>
      <c r="DV23" s="45">
        <v>57</v>
      </c>
      <c r="DW23" s="45">
        <v>57</v>
      </c>
      <c r="DX23" s="45">
        <v>57</v>
      </c>
      <c r="EU23" s="47" t="s">
        <v>34</v>
      </c>
      <c r="EV23" s="47" t="s">
        <v>34</v>
      </c>
      <c r="EW23" s="107" t="s">
        <v>34</v>
      </c>
      <c r="EX23" s="107" t="s">
        <v>258</v>
      </c>
      <c r="EY23" s="47" t="s">
        <v>38</v>
      </c>
      <c r="EZ23" s="47" t="s">
        <v>38</v>
      </c>
      <c r="FA23" s="113" t="s">
        <v>34</v>
      </c>
      <c r="FB23" s="47" t="s">
        <v>34</v>
      </c>
      <c r="FC23" s="107" t="s">
        <v>34</v>
      </c>
      <c r="FD23" s="107" t="s">
        <v>258</v>
      </c>
      <c r="FE23" s="47" t="s">
        <v>38</v>
      </c>
      <c r="FF23" s="47" t="s">
        <v>38</v>
      </c>
      <c r="FG23" s="113" t="s">
        <v>36</v>
      </c>
      <c r="FH23" s="47" t="s">
        <v>36</v>
      </c>
      <c r="FI23" s="107" t="s">
        <v>36</v>
      </c>
      <c r="FJ23" s="107" t="s">
        <v>25</v>
      </c>
      <c r="FK23" s="47" t="s">
        <v>35</v>
      </c>
      <c r="FL23" s="72" t="s">
        <v>25</v>
      </c>
      <c r="FM23" s="47" t="s">
        <v>35</v>
      </c>
      <c r="FN23" s="47" t="s">
        <v>35</v>
      </c>
    </row>
    <row r="24" spans="1:170 16353:16353" x14ac:dyDescent="0.25">
      <c r="A24" s="51">
        <v>86</v>
      </c>
      <c r="B24" s="51">
        <v>86</v>
      </c>
      <c r="C24" s="51" t="s">
        <v>23</v>
      </c>
      <c r="D24" s="51">
        <v>72</v>
      </c>
      <c r="E24" s="51">
        <v>72</v>
      </c>
      <c r="F24" s="51">
        <v>72</v>
      </c>
      <c r="G24" s="51">
        <v>96</v>
      </c>
      <c r="H24" s="51">
        <v>86</v>
      </c>
      <c r="I24" s="45">
        <v>72</v>
      </c>
      <c r="J24" s="51" t="s">
        <v>33</v>
      </c>
      <c r="K24" s="51" t="s">
        <v>36</v>
      </c>
      <c r="L24" s="54" t="s">
        <v>313</v>
      </c>
      <c r="M24" s="54" t="s">
        <v>313</v>
      </c>
      <c r="N24" s="45">
        <v>72</v>
      </c>
      <c r="O24" s="69">
        <v>72</v>
      </c>
      <c r="P24" s="45">
        <v>72</v>
      </c>
      <c r="Q24" s="51" t="s">
        <v>23</v>
      </c>
      <c r="R24" s="51" t="s">
        <v>23</v>
      </c>
      <c r="S24" s="51" t="s">
        <v>32</v>
      </c>
      <c r="T24" s="51" t="s">
        <v>32</v>
      </c>
      <c r="U24" s="45">
        <v>86</v>
      </c>
      <c r="V24" s="45">
        <v>72</v>
      </c>
      <c r="W24" s="45">
        <v>72</v>
      </c>
      <c r="X24" s="51" t="s">
        <v>23</v>
      </c>
      <c r="Y24" s="51" t="s">
        <v>23</v>
      </c>
      <c r="Z24" s="52" t="s">
        <v>35</v>
      </c>
      <c r="AA24" s="51" t="s">
        <v>33</v>
      </c>
      <c r="AB24" s="51" t="s">
        <v>33</v>
      </c>
      <c r="AC24" s="51" t="s">
        <v>23</v>
      </c>
      <c r="AD24" s="51" t="s">
        <v>23</v>
      </c>
      <c r="AE24" s="51" t="s">
        <v>32</v>
      </c>
      <c r="AF24" s="51" t="s">
        <v>32</v>
      </c>
      <c r="AG24" s="45" t="s">
        <v>262</v>
      </c>
      <c r="AH24" s="45" t="s">
        <v>262</v>
      </c>
      <c r="AI24" s="45" t="s">
        <v>262</v>
      </c>
      <c r="AJ24" s="45" t="s">
        <v>262</v>
      </c>
      <c r="AK24" s="45" t="s">
        <v>262</v>
      </c>
      <c r="AL24" s="45" t="s">
        <v>262</v>
      </c>
      <c r="AM24" s="45" t="s">
        <v>262</v>
      </c>
      <c r="AN24" s="45" t="s">
        <v>262</v>
      </c>
      <c r="AO24" s="45" t="s">
        <v>262</v>
      </c>
      <c r="AP24" s="45" t="s">
        <v>262</v>
      </c>
      <c r="AQ24" s="47" t="s">
        <v>39</v>
      </c>
      <c r="AR24" s="47" t="s">
        <v>39</v>
      </c>
      <c r="AS24" s="47" t="s">
        <v>39</v>
      </c>
      <c r="AT24" s="47" t="s">
        <v>39</v>
      </c>
      <c r="AU24" s="47" t="s">
        <v>39</v>
      </c>
      <c r="AV24" s="47" t="s">
        <v>39</v>
      </c>
      <c r="AW24" s="76" t="s">
        <v>72</v>
      </c>
      <c r="AX24" s="76" t="s">
        <v>72</v>
      </c>
      <c r="AY24" s="76" t="s">
        <v>72</v>
      </c>
      <c r="AZ24" s="46" t="s">
        <v>262</v>
      </c>
      <c r="BA24" s="46" t="s">
        <v>262</v>
      </c>
      <c r="BB24" s="46" t="s">
        <v>72</v>
      </c>
      <c r="BC24" s="46" t="s">
        <v>72</v>
      </c>
      <c r="BD24" s="46" t="s">
        <v>72</v>
      </c>
      <c r="BE24" s="46" t="s">
        <v>72</v>
      </c>
      <c r="BF24" s="46" t="s">
        <v>72</v>
      </c>
      <c r="BG24" s="46" t="s">
        <v>72</v>
      </c>
      <c r="BH24" s="46" t="s">
        <v>72</v>
      </c>
      <c r="BI24" s="46" t="s">
        <v>72</v>
      </c>
      <c r="BJ24" s="46" t="s">
        <v>72</v>
      </c>
      <c r="BK24" s="52">
        <v>192</v>
      </c>
      <c r="BL24" s="52">
        <v>192</v>
      </c>
      <c r="BM24" s="52">
        <v>192</v>
      </c>
      <c r="BN24" s="77" t="s">
        <v>313</v>
      </c>
      <c r="BP24" s="77" t="s">
        <v>313</v>
      </c>
      <c r="BR24" s="77" t="s">
        <v>313</v>
      </c>
      <c r="CI24" s="45">
        <v>96</v>
      </c>
      <c r="CJ24" s="45">
        <v>96</v>
      </c>
      <c r="CK24" s="45">
        <v>96</v>
      </c>
      <c r="CL24" s="77" t="s">
        <v>313</v>
      </c>
      <c r="CM24" s="45">
        <v>96</v>
      </c>
      <c r="CN24" s="45">
        <v>96</v>
      </c>
      <c r="CO24" s="45">
        <v>96</v>
      </c>
      <c r="CP24" s="45">
        <v>96</v>
      </c>
      <c r="CQ24" s="51">
        <v>72</v>
      </c>
      <c r="CR24" s="51">
        <v>72</v>
      </c>
      <c r="CS24" s="51" t="s">
        <v>23</v>
      </c>
      <c r="CT24" s="51" t="s">
        <v>24</v>
      </c>
      <c r="CU24" s="47" t="s">
        <v>32</v>
      </c>
      <c r="CV24" s="47" t="s">
        <v>32</v>
      </c>
      <c r="CW24" s="77" t="s">
        <v>313</v>
      </c>
      <c r="CX24" s="77" t="s">
        <v>313</v>
      </c>
      <c r="CY24" s="77" t="s">
        <v>313</v>
      </c>
      <c r="CZ24" s="47" t="s">
        <v>24</v>
      </c>
      <c r="DA24" s="47" t="s">
        <v>24</v>
      </c>
      <c r="DB24" s="47" t="s">
        <v>23</v>
      </c>
      <c r="DC24" s="47" t="s">
        <v>23</v>
      </c>
      <c r="DD24" s="45">
        <v>96</v>
      </c>
      <c r="DE24" s="45">
        <v>96</v>
      </c>
      <c r="DF24" s="45">
        <v>96</v>
      </c>
      <c r="DG24" s="47" t="s">
        <v>24</v>
      </c>
      <c r="DH24" s="47" t="s">
        <v>24</v>
      </c>
      <c r="DI24" s="47" t="s">
        <v>35</v>
      </c>
      <c r="DJ24" s="47" t="s">
        <v>24</v>
      </c>
      <c r="DK24" s="47" t="s">
        <v>24</v>
      </c>
      <c r="DL24" s="47" t="s">
        <v>24</v>
      </c>
      <c r="DM24" s="47" t="s">
        <v>24</v>
      </c>
      <c r="DN24" s="47" t="s">
        <v>23</v>
      </c>
      <c r="DO24" s="51">
        <v>48</v>
      </c>
      <c r="DP24" s="51">
        <v>48</v>
      </c>
      <c r="DQ24" s="45">
        <v>72</v>
      </c>
      <c r="DR24" s="45">
        <v>72</v>
      </c>
      <c r="DS24" s="45">
        <v>72</v>
      </c>
      <c r="DT24" s="51">
        <v>48</v>
      </c>
      <c r="DU24" s="51">
        <v>48</v>
      </c>
      <c r="DV24" s="45">
        <v>72</v>
      </c>
      <c r="DW24" s="45">
        <v>72</v>
      </c>
      <c r="DX24" s="45">
        <v>72</v>
      </c>
      <c r="EU24" s="47" t="s">
        <v>35</v>
      </c>
      <c r="EV24" s="47" t="s">
        <v>35</v>
      </c>
      <c r="EW24" s="107" t="s">
        <v>35</v>
      </c>
      <c r="EX24" s="107" t="s">
        <v>37</v>
      </c>
      <c r="EY24" s="47" t="s">
        <v>39</v>
      </c>
      <c r="EZ24" s="47" t="s">
        <v>39</v>
      </c>
      <c r="FA24" s="113" t="s">
        <v>35</v>
      </c>
      <c r="FB24" s="47" t="s">
        <v>35</v>
      </c>
      <c r="FC24" s="107" t="s">
        <v>35</v>
      </c>
      <c r="FD24" s="107" t="s">
        <v>37</v>
      </c>
      <c r="FE24" s="47" t="s">
        <v>39</v>
      </c>
      <c r="FF24" s="47" t="s">
        <v>39</v>
      </c>
      <c r="FG24" s="113" t="s">
        <v>24</v>
      </c>
      <c r="FH24" s="47" t="s">
        <v>24</v>
      </c>
      <c r="FI24" s="107" t="s">
        <v>24</v>
      </c>
      <c r="FJ24" s="107" t="s">
        <v>34</v>
      </c>
      <c r="FK24" s="47" t="s">
        <v>258</v>
      </c>
      <c r="FL24" s="72" t="s">
        <v>34</v>
      </c>
      <c r="FM24" s="47" t="s">
        <v>258</v>
      </c>
      <c r="FN24" s="47" t="s">
        <v>258</v>
      </c>
    </row>
    <row r="25" spans="1:170 16353:16353" x14ac:dyDescent="0.25">
      <c r="A25" s="51">
        <v>96</v>
      </c>
      <c r="B25" s="51">
        <v>96</v>
      </c>
      <c r="C25" s="51" t="s">
        <v>36</v>
      </c>
      <c r="D25" s="51">
        <v>86</v>
      </c>
      <c r="E25" s="51">
        <v>86</v>
      </c>
      <c r="F25" s="51">
        <v>86</v>
      </c>
      <c r="G25" s="51">
        <v>115</v>
      </c>
      <c r="H25" s="51">
        <v>96</v>
      </c>
      <c r="I25" s="45">
        <v>86</v>
      </c>
      <c r="J25" s="51" t="s">
        <v>23</v>
      </c>
      <c r="K25" s="51" t="s">
        <v>34</v>
      </c>
      <c r="L25" s="51" t="s">
        <v>22</v>
      </c>
      <c r="M25" s="51" t="s">
        <v>22</v>
      </c>
      <c r="N25" s="45">
        <v>86</v>
      </c>
      <c r="O25" s="69">
        <v>86</v>
      </c>
      <c r="P25" s="45">
        <v>86</v>
      </c>
      <c r="Q25" s="51" t="s">
        <v>36</v>
      </c>
      <c r="R25" s="51" t="s">
        <v>36</v>
      </c>
      <c r="S25" s="51" t="s">
        <v>33</v>
      </c>
      <c r="T25" s="51" t="s">
        <v>33</v>
      </c>
      <c r="U25" s="45">
        <v>96</v>
      </c>
      <c r="V25" s="45">
        <v>86</v>
      </c>
      <c r="W25" s="45">
        <v>86</v>
      </c>
      <c r="X25" s="51" t="s">
        <v>36</v>
      </c>
      <c r="Y25" s="51" t="s">
        <v>36</v>
      </c>
      <c r="Z25" s="55" t="s">
        <v>314</v>
      </c>
      <c r="AA25" s="51" t="s">
        <v>23</v>
      </c>
      <c r="AB25" s="51" t="s">
        <v>23</v>
      </c>
      <c r="AC25" s="51" t="s">
        <v>36</v>
      </c>
      <c r="AD25" s="51" t="s">
        <v>36</v>
      </c>
      <c r="AE25" s="51" t="s">
        <v>33</v>
      </c>
      <c r="AF25" s="51" t="s">
        <v>33</v>
      </c>
      <c r="AG25" s="34"/>
      <c r="AH25" s="34"/>
      <c r="AI25" s="34"/>
      <c r="AL25" s="34"/>
      <c r="AM25" s="34"/>
      <c r="AN25" s="34"/>
      <c r="AQ25" s="47" t="s">
        <v>154</v>
      </c>
      <c r="AR25" s="47" t="s">
        <v>154</v>
      </c>
      <c r="AS25" s="47" t="s">
        <v>154</v>
      </c>
      <c r="AT25" s="47" t="s">
        <v>154</v>
      </c>
      <c r="AU25" s="47" t="s">
        <v>154</v>
      </c>
      <c r="AV25" s="47" t="s">
        <v>154</v>
      </c>
      <c r="BK25" s="77" t="s">
        <v>313</v>
      </c>
      <c r="BL25" s="77" t="s">
        <v>313</v>
      </c>
      <c r="BM25" s="77" t="s">
        <v>313</v>
      </c>
      <c r="BN25" s="46" t="s">
        <v>22</v>
      </c>
      <c r="BP25" s="46" t="s">
        <v>22</v>
      </c>
      <c r="BR25" s="46" t="s">
        <v>22</v>
      </c>
      <c r="CI25" s="60">
        <v>115</v>
      </c>
      <c r="CJ25" s="60">
        <v>115</v>
      </c>
      <c r="CK25" s="45">
        <v>115</v>
      </c>
      <c r="CL25" s="47" t="s">
        <v>22</v>
      </c>
      <c r="CM25" s="45">
        <v>115</v>
      </c>
      <c r="CN25" s="45">
        <v>115</v>
      </c>
      <c r="CO25" s="45">
        <v>115</v>
      </c>
      <c r="CP25" s="45">
        <v>115</v>
      </c>
      <c r="CQ25" s="51">
        <v>86</v>
      </c>
      <c r="CR25" s="51">
        <v>86</v>
      </c>
      <c r="CS25" s="51" t="s">
        <v>36</v>
      </c>
      <c r="CT25" s="51" t="s">
        <v>25</v>
      </c>
      <c r="CU25" s="47" t="s">
        <v>33</v>
      </c>
      <c r="CV25" s="47" t="s">
        <v>33</v>
      </c>
      <c r="CW25" s="47" t="s">
        <v>22</v>
      </c>
      <c r="CX25" s="47" t="s">
        <v>22</v>
      </c>
      <c r="CY25" s="47" t="s">
        <v>22</v>
      </c>
      <c r="CZ25" s="47" t="s">
        <v>25</v>
      </c>
      <c r="DA25" s="47" t="s">
        <v>25</v>
      </c>
      <c r="DB25" s="47" t="s">
        <v>36</v>
      </c>
      <c r="DC25" s="47" t="s">
        <v>36</v>
      </c>
      <c r="DD25" s="60">
        <v>115</v>
      </c>
      <c r="DE25" s="45">
        <v>115</v>
      </c>
      <c r="DF25" s="45">
        <v>115</v>
      </c>
      <c r="DG25" s="47" t="s">
        <v>25</v>
      </c>
      <c r="DH25" s="47" t="s">
        <v>25</v>
      </c>
      <c r="DI25" s="47" t="s">
        <v>258</v>
      </c>
      <c r="DJ25" s="47" t="s">
        <v>25</v>
      </c>
      <c r="DK25" s="47" t="s">
        <v>25</v>
      </c>
      <c r="DL25" s="47" t="s">
        <v>25</v>
      </c>
      <c r="DM25" s="47" t="s">
        <v>25</v>
      </c>
      <c r="DN25" s="47" t="s">
        <v>36</v>
      </c>
      <c r="DO25" s="51">
        <v>57</v>
      </c>
      <c r="DP25" s="51">
        <v>57</v>
      </c>
      <c r="DQ25" s="45">
        <v>86</v>
      </c>
      <c r="DR25" s="45">
        <v>86</v>
      </c>
      <c r="DS25" s="45">
        <v>86</v>
      </c>
      <c r="DT25" s="51">
        <v>57</v>
      </c>
      <c r="DU25" s="51">
        <v>57</v>
      </c>
      <c r="DV25" s="45">
        <v>86</v>
      </c>
      <c r="DW25" s="45">
        <v>86</v>
      </c>
      <c r="DX25" s="45">
        <v>86</v>
      </c>
      <c r="EU25" s="47" t="s">
        <v>258</v>
      </c>
      <c r="EV25" s="47" t="s">
        <v>258</v>
      </c>
      <c r="EW25" s="107" t="s">
        <v>258</v>
      </c>
      <c r="EX25" s="107" t="s">
        <v>38</v>
      </c>
      <c r="EY25" s="47" t="s">
        <v>154</v>
      </c>
      <c r="EZ25" s="47" t="s">
        <v>154</v>
      </c>
      <c r="FA25" s="113" t="s">
        <v>258</v>
      </c>
      <c r="FB25" s="47" t="s">
        <v>258</v>
      </c>
      <c r="FC25" s="107" t="s">
        <v>258</v>
      </c>
      <c r="FD25" s="107" t="s">
        <v>38</v>
      </c>
      <c r="FE25" s="47" t="s">
        <v>154</v>
      </c>
      <c r="FF25" s="47" t="s">
        <v>154</v>
      </c>
      <c r="FG25" s="113" t="s">
        <v>25</v>
      </c>
      <c r="FH25" s="47" t="s">
        <v>25</v>
      </c>
      <c r="FI25" s="107" t="s">
        <v>25</v>
      </c>
      <c r="FJ25" s="107" t="s">
        <v>35</v>
      </c>
      <c r="FK25" s="47" t="s">
        <v>37</v>
      </c>
      <c r="FL25" s="72" t="s">
        <v>35</v>
      </c>
      <c r="FM25" s="47" t="s">
        <v>37</v>
      </c>
      <c r="FN25" s="47" t="s">
        <v>37</v>
      </c>
    </row>
    <row r="26" spans="1:170 16353:16353" x14ac:dyDescent="0.25">
      <c r="A26" s="51">
        <v>115</v>
      </c>
      <c r="B26" s="51">
        <v>115</v>
      </c>
      <c r="C26" s="51" t="s">
        <v>34</v>
      </c>
      <c r="D26" s="51">
        <v>96</v>
      </c>
      <c r="E26" s="51">
        <v>96</v>
      </c>
      <c r="F26" s="51">
        <v>96</v>
      </c>
      <c r="G26" s="51">
        <v>144</v>
      </c>
      <c r="H26" s="51">
        <v>115</v>
      </c>
      <c r="I26" s="45">
        <v>96</v>
      </c>
      <c r="J26" s="51" t="s">
        <v>36</v>
      </c>
      <c r="K26" s="51" t="s">
        <v>35</v>
      </c>
      <c r="L26" s="51" t="s">
        <v>32</v>
      </c>
      <c r="M26" s="51" t="s">
        <v>32</v>
      </c>
      <c r="N26" s="60" t="s">
        <v>200</v>
      </c>
      <c r="O26" s="68" t="s">
        <v>200</v>
      </c>
      <c r="P26" s="60" t="s">
        <v>200</v>
      </c>
      <c r="Q26" s="51" t="s">
        <v>34</v>
      </c>
      <c r="R26" s="51" t="s">
        <v>34</v>
      </c>
      <c r="S26" s="51" t="s">
        <v>23</v>
      </c>
      <c r="T26" s="51" t="s">
        <v>23</v>
      </c>
      <c r="U26" s="45">
        <v>115</v>
      </c>
      <c r="V26" s="45">
        <v>96</v>
      </c>
      <c r="W26" s="45">
        <v>96</v>
      </c>
      <c r="X26" s="51" t="s">
        <v>34</v>
      </c>
      <c r="Y26" s="51" t="s">
        <v>34</v>
      </c>
      <c r="Z26" s="45" t="s">
        <v>405</v>
      </c>
      <c r="AA26" s="51" t="s">
        <v>36</v>
      </c>
      <c r="AB26" s="51" t="s">
        <v>36</v>
      </c>
      <c r="AC26" s="51" t="s">
        <v>34</v>
      </c>
      <c r="AD26" s="51" t="s">
        <v>34</v>
      </c>
      <c r="AE26" s="51" t="s">
        <v>23</v>
      </c>
      <c r="AF26" s="51" t="s">
        <v>23</v>
      </c>
      <c r="AG26" s="34"/>
      <c r="AH26" s="34"/>
      <c r="AI26" s="34"/>
      <c r="AL26" s="34"/>
      <c r="AM26" s="34"/>
      <c r="AN26" s="34"/>
      <c r="AQ26" s="47" t="s">
        <v>259</v>
      </c>
      <c r="AR26" s="47" t="s">
        <v>259</v>
      </c>
      <c r="AS26" s="47" t="s">
        <v>259</v>
      </c>
      <c r="AT26" s="47" t="s">
        <v>259</v>
      </c>
      <c r="AU26" s="47" t="s">
        <v>259</v>
      </c>
      <c r="AV26" s="47" t="s">
        <v>259</v>
      </c>
      <c r="BK26" s="52" t="s">
        <v>22</v>
      </c>
      <c r="BL26" s="52" t="s">
        <v>22</v>
      </c>
      <c r="BM26" s="52" t="s">
        <v>22</v>
      </c>
      <c r="BN26" s="55" t="s">
        <v>314</v>
      </c>
      <c r="BP26" s="55" t="s">
        <v>314</v>
      </c>
      <c r="BR26" s="55" t="s">
        <v>314</v>
      </c>
      <c r="CI26" s="77" t="s">
        <v>313</v>
      </c>
      <c r="CJ26" s="77" t="s">
        <v>313</v>
      </c>
      <c r="CK26" s="45">
        <v>144</v>
      </c>
      <c r="CL26" s="47" t="s">
        <v>32</v>
      </c>
      <c r="CM26" s="45">
        <v>144</v>
      </c>
      <c r="CN26" s="45">
        <v>144</v>
      </c>
      <c r="CO26" s="45">
        <v>144</v>
      </c>
      <c r="CP26" s="45">
        <v>144</v>
      </c>
      <c r="CQ26" s="51">
        <v>96</v>
      </c>
      <c r="CR26" s="51">
        <v>96</v>
      </c>
      <c r="CS26" s="51" t="s">
        <v>24</v>
      </c>
      <c r="CT26" s="51" t="s">
        <v>34</v>
      </c>
      <c r="CU26" s="47" t="s">
        <v>23</v>
      </c>
      <c r="CV26" s="47" t="s">
        <v>23</v>
      </c>
      <c r="CW26" s="47" t="s">
        <v>32</v>
      </c>
      <c r="CX26" s="47" t="s">
        <v>32</v>
      </c>
      <c r="CY26" s="47" t="s">
        <v>32</v>
      </c>
      <c r="CZ26" s="47" t="s">
        <v>34</v>
      </c>
      <c r="DA26" s="47" t="s">
        <v>34</v>
      </c>
      <c r="DB26" s="47" t="s">
        <v>24</v>
      </c>
      <c r="DC26" s="47" t="s">
        <v>24</v>
      </c>
      <c r="DD26" s="77" t="s">
        <v>313</v>
      </c>
      <c r="DE26" s="45">
        <v>144</v>
      </c>
      <c r="DF26" s="45">
        <v>144</v>
      </c>
      <c r="DG26" s="47" t="s">
        <v>34</v>
      </c>
      <c r="DH26" s="47" t="s">
        <v>34</v>
      </c>
      <c r="DI26" s="47" t="s">
        <v>37</v>
      </c>
      <c r="DJ26" s="47" t="s">
        <v>34</v>
      </c>
      <c r="DK26" s="47" t="s">
        <v>34</v>
      </c>
      <c r="DL26" s="47" t="s">
        <v>34</v>
      </c>
      <c r="DM26" s="47" t="s">
        <v>34</v>
      </c>
      <c r="DN26" s="47" t="s">
        <v>24</v>
      </c>
      <c r="DO26" s="51">
        <v>72</v>
      </c>
      <c r="DP26" s="51">
        <v>72</v>
      </c>
      <c r="DQ26" s="45">
        <v>96</v>
      </c>
      <c r="DR26" s="45">
        <v>96</v>
      </c>
      <c r="DS26" s="45">
        <v>96</v>
      </c>
      <c r="DT26" s="51">
        <v>72</v>
      </c>
      <c r="DU26" s="51">
        <v>72</v>
      </c>
      <c r="DV26" s="45">
        <v>96</v>
      </c>
      <c r="DW26" s="45">
        <v>96</v>
      </c>
      <c r="DX26" s="45">
        <v>96</v>
      </c>
      <c r="EU26" s="47" t="s">
        <v>37</v>
      </c>
      <c r="EV26" s="47" t="s">
        <v>37</v>
      </c>
      <c r="EW26" s="107" t="s">
        <v>37</v>
      </c>
      <c r="EX26" s="107" t="s">
        <v>39</v>
      </c>
      <c r="EY26" s="47" t="s">
        <v>259</v>
      </c>
      <c r="EZ26" s="47" t="s">
        <v>259</v>
      </c>
      <c r="FA26" s="113" t="s">
        <v>37</v>
      </c>
      <c r="FB26" s="47" t="s">
        <v>37</v>
      </c>
      <c r="FC26" s="107" t="s">
        <v>37</v>
      </c>
      <c r="FD26" s="107" t="s">
        <v>39</v>
      </c>
      <c r="FE26" s="47" t="s">
        <v>259</v>
      </c>
      <c r="FF26" s="47" t="s">
        <v>259</v>
      </c>
      <c r="FG26" s="113" t="s">
        <v>34</v>
      </c>
      <c r="FH26" s="47" t="s">
        <v>34</v>
      </c>
      <c r="FI26" s="107" t="s">
        <v>34</v>
      </c>
      <c r="FJ26" s="107" t="s">
        <v>258</v>
      </c>
      <c r="FK26" s="47" t="s">
        <v>38</v>
      </c>
      <c r="FL26" s="72" t="s">
        <v>258</v>
      </c>
      <c r="FM26" s="47" t="s">
        <v>38</v>
      </c>
      <c r="FN26" s="47" t="s">
        <v>38</v>
      </c>
    </row>
    <row r="27" spans="1:170 16353:16353" x14ac:dyDescent="0.25">
      <c r="A27" s="52" t="s">
        <v>200</v>
      </c>
      <c r="B27" s="52" t="s">
        <v>200</v>
      </c>
      <c r="C27" s="52" t="s">
        <v>35</v>
      </c>
      <c r="D27" s="51">
        <v>115</v>
      </c>
      <c r="E27" s="51">
        <v>115</v>
      </c>
      <c r="F27" s="51">
        <v>115</v>
      </c>
      <c r="G27" s="51">
        <v>173</v>
      </c>
      <c r="H27" s="51">
        <v>144</v>
      </c>
      <c r="I27" s="45">
        <v>115</v>
      </c>
      <c r="J27" s="51" t="s">
        <v>34</v>
      </c>
      <c r="K27" s="55" t="s">
        <v>314</v>
      </c>
      <c r="L27" s="51" t="s">
        <v>33</v>
      </c>
      <c r="M27" s="51" t="s">
        <v>33</v>
      </c>
      <c r="N27" s="54" t="s">
        <v>313</v>
      </c>
      <c r="O27" s="70" t="s">
        <v>313</v>
      </c>
      <c r="P27" s="70" t="s">
        <v>313</v>
      </c>
      <c r="Q27" s="52" t="s">
        <v>35</v>
      </c>
      <c r="R27" s="52" t="s">
        <v>35</v>
      </c>
      <c r="S27" s="51" t="s">
        <v>36</v>
      </c>
      <c r="T27" s="51" t="s">
        <v>36</v>
      </c>
      <c r="U27" s="60" t="s">
        <v>200</v>
      </c>
      <c r="V27" s="45">
        <v>115</v>
      </c>
      <c r="W27" s="45">
        <v>115</v>
      </c>
      <c r="X27" s="52" t="s">
        <v>35</v>
      </c>
      <c r="Y27" s="52" t="s">
        <v>35</v>
      </c>
      <c r="Z27" s="45" t="s">
        <v>406</v>
      </c>
      <c r="AA27" s="51" t="s">
        <v>34</v>
      </c>
      <c r="AB27" s="51" t="s">
        <v>34</v>
      </c>
      <c r="AC27" s="52" t="s">
        <v>35</v>
      </c>
      <c r="AD27" s="52" t="s">
        <v>35</v>
      </c>
      <c r="AE27" s="51" t="s">
        <v>36</v>
      </c>
      <c r="AF27" s="51" t="s">
        <v>36</v>
      </c>
      <c r="AG27" s="34"/>
      <c r="AH27" s="34"/>
      <c r="AI27" s="34"/>
      <c r="AL27" s="34"/>
      <c r="AM27" s="34"/>
      <c r="AN27" s="34"/>
      <c r="AQ27" s="76" t="s">
        <v>260</v>
      </c>
      <c r="AR27" s="76" t="s">
        <v>260</v>
      </c>
      <c r="AS27" s="76" t="s">
        <v>260</v>
      </c>
      <c r="AT27" s="76" t="s">
        <v>260</v>
      </c>
      <c r="AU27" s="76" t="s">
        <v>260</v>
      </c>
      <c r="AV27" s="76" t="s">
        <v>260</v>
      </c>
      <c r="BK27" s="55" t="s">
        <v>314</v>
      </c>
      <c r="BL27" s="55" t="s">
        <v>314</v>
      </c>
      <c r="BM27" s="55" t="s">
        <v>314</v>
      </c>
      <c r="BN27" s="45" t="s">
        <v>417</v>
      </c>
      <c r="BP27" s="45" t="s">
        <v>417</v>
      </c>
      <c r="BR27" s="45" t="s">
        <v>417</v>
      </c>
      <c r="CI27" s="47" t="s">
        <v>22</v>
      </c>
      <c r="CJ27" s="47" t="s">
        <v>22</v>
      </c>
      <c r="CK27" s="45">
        <v>173</v>
      </c>
      <c r="CL27" s="47" t="s">
        <v>33</v>
      </c>
      <c r="CM27" s="60">
        <v>173</v>
      </c>
      <c r="CN27" s="45">
        <v>173</v>
      </c>
      <c r="CO27" s="45">
        <v>173</v>
      </c>
      <c r="CP27" s="60">
        <v>173</v>
      </c>
      <c r="CQ27" s="51">
        <v>115</v>
      </c>
      <c r="CR27" s="51">
        <v>115</v>
      </c>
      <c r="CS27" s="51" t="s">
        <v>25</v>
      </c>
      <c r="CT27" s="51" t="s">
        <v>35</v>
      </c>
      <c r="CU27" s="47" t="s">
        <v>36</v>
      </c>
      <c r="CV27" s="47" t="s">
        <v>36</v>
      </c>
      <c r="CW27" s="47" t="s">
        <v>33</v>
      </c>
      <c r="CX27" s="47" t="s">
        <v>33</v>
      </c>
      <c r="CY27" s="47" t="s">
        <v>33</v>
      </c>
      <c r="CZ27" s="47" t="s">
        <v>35</v>
      </c>
      <c r="DA27" s="47" t="s">
        <v>35</v>
      </c>
      <c r="DB27" s="47" t="s">
        <v>25</v>
      </c>
      <c r="DC27" s="47" t="s">
        <v>25</v>
      </c>
      <c r="DD27" s="47" t="s">
        <v>22</v>
      </c>
      <c r="DE27" s="60">
        <v>173</v>
      </c>
      <c r="DF27" s="60">
        <v>173</v>
      </c>
      <c r="DG27" s="47" t="s">
        <v>35</v>
      </c>
      <c r="DH27" s="47" t="s">
        <v>35</v>
      </c>
      <c r="DI27" s="47" t="s">
        <v>38</v>
      </c>
      <c r="DJ27" s="47" t="s">
        <v>35</v>
      </c>
      <c r="DK27" s="47" t="s">
        <v>35</v>
      </c>
      <c r="DL27" s="47" t="s">
        <v>35</v>
      </c>
      <c r="DM27" s="47" t="s">
        <v>35</v>
      </c>
      <c r="DN27" s="47" t="s">
        <v>25</v>
      </c>
      <c r="DO27" s="51">
        <v>86</v>
      </c>
      <c r="DP27" s="51">
        <v>86</v>
      </c>
      <c r="DQ27" s="45">
        <v>115</v>
      </c>
      <c r="DR27" s="45">
        <v>115</v>
      </c>
      <c r="DS27" s="45">
        <v>115</v>
      </c>
      <c r="DT27" s="51">
        <v>86</v>
      </c>
      <c r="DU27" s="51">
        <v>86</v>
      </c>
      <c r="DV27" s="45">
        <v>115</v>
      </c>
      <c r="DW27" s="45">
        <v>115</v>
      </c>
      <c r="DX27" s="45">
        <v>115</v>
      </c>
      <c r="EU27" s="47" t="s">
        <v>38</v>
      </c>
      <c r="EV27" s="47" t="s">
        <v>38</v>
      </c>
      <c r="EW27" s="107" t="s">
        <v>38</v>
      </c>
      <c r="EX27" s="107" t="s">
        <v>154</v>
      </c>
      <c r="EY27" s="47" t="s">
        <v>260</v>
      </c>
      <c r="EZ27" s="47" t="s">
        <v>260</v>
      </c>
      <c r="FA27" s="113" t="s">
        <v>38</v>
      </c>
      <c r="FB27" s="47" t="s">
        <v>38</v>
      </c>
      <c r="FC27" s="107" t="s">
        <v>38</v>
      </c>
      <c r="FD27" s="107" t="s">
        <v>154</v>
      </c>
      <c r="FE27" s="47" t="s">
        <v>260</v>
      </c>
      <c r="FF27" s="47" t="s">
        <v>260</v>
      </c>
      <c r="FG27" s="113" t="s">
        <v>35</v>
      </c>
      <c r="FH27" s="47" t="s">
        <v>35</v>
      </c>
      <c r="FI27" s="107" t="s">
        <v>35</v>
      </c>
      <c r="FJ27" s="107" t="s">
        <v>37</v>
      </c>
      <c r="FK27" s="47" t="s">
        <v>39</v>
      </c>
      <c r="FL27" s="72" t="s">
        <v>37</v>
      </c>
      <c r="FM27" s="47" t="s">
        <v>39</v>
      </c>
      <c r="FN27" s="47" t="s">
        <v>39</v>
      </c>
    </row>
    <row r="28" spans="1:170 16353:16353" x14ac:dyDescent="0.25">
      <c r="A28" s="55" t="s">
        <v>313</v>
      </c>
      <c r="B28" s="55" t="s">
        <v>313</v>
      </c>
      <c r="C28" s="52" t="s">
        <v>200</v>
      </c>
      <c r="D28" s="51">
        <v>144</v>
      </c>
      <c r="E28" s="51">
        <v>144</v>
      </c>
      <c r="F28" s="51">
        <v>144</v>
      </c>
      <c r="G28" s="52" t="s">
        <v>200</v>
      </c>
      <c r="H28" s="51">
        <v>173</v>
      </c>
      <c r="I28" s="45">
        <v>144</v>
      </c>
      <c r="J28" s="52" t="s">
        <v>35</v>
      </c>
      <c r="K28" s="45" t="s">
        <v>413</v>
      </c>
      <c r="L28" s="51" t="s">
        <v>23</v>
      </c>
      <c r="M28" s="51" t="s">
        <v>23</v>
      </c>
      <c r="N28" s="51" t="s">
        <v>22</v>
      </c>
      <c r="O28" s="69" t="s">
        <v>22</v>
      </c>
      <c r="P28" s="51" t="s">
        <v>22</v>
      </c>
      <c r="Q28" s="55" t="s">
        <v>314</v>
      </c>
      <c r="R28" s="55" t="s">
        <v>314</v>
      </c>
      <c r="S28" s="51" t="s">
        <v>34</v>
      </c>
      <c r="T28" s="51" t="s">
        <v>34</v>
      </c>
      <c r="U28" s="70" t="s">
        <v>313</v>
      </c>
      <c r="V28" s="45">
        <v>144</v>
      </c>
      <c r="W28" s="45">
        <v>144</v>
      </c>
      <c r="X28" s="55" t="s">
        <v>314</v>
      </c>
      <c r="Y28" s="55" t="s">
        <v>314</v>
      </c>
      <c r="AA28" s="52" t="s">
        <v>35</v>
      </c>
      <c r="AB28" s="52" t="s">
        <v>35</v>
      </c>
      <c r="AC28" s="55" t="s">
        <v>314</v>
      </c>
      <c r="AD28" s="55" t="s">
        <v>314</v>
      </c>
      <c r="AE28" s="51" t="s">
        <v>34</v>
      </c>
      <c r="AF28" s="51" t="s">
        <v>34</v>
      </c>
      <c r="AG28" s="34"/>
      <c r="AH28" s="34"/>
      <c r="AI28" s="34"/>
      <c r="AJ28"/>
      <c r="AK28"/>
      <c r="AL28" s="34"/>
      <c r="AM28" s="34"/>
      <c r="AN28" s="34"/>
      <c r="AO28"/>
      <c r="AP28"/>
      <c r="AQ28" s="55" t="s">
        <v>314</v>
      </c>
      <c r="AR28" s="55" t="s">
        <v>314</v>
      </c>
      <c r="AS28" s="55" t="s">
        <v>314</v>
      </c>
      <c r="AT28" s="55" t="s">
        <v>314</v>
      </c>
      <c r="AU28" s="55" t="s">
        <v>314</v>
      </c>
      <c r="AV28" s="55" t="s">
        <v>314</v>
      </c>
      <c r="BK28" s="45" t="s">
        <v>417</v>
      </c>
      <c r="BL28" s="45" t="s">
        <v>417</v>
      </c>
      <c r="BM28" s="45" t="s">
        <v>417</v>
      </c>
      <c r="BN28" s="45" t="s">
        <v>418</v>
      </c>
      <c r="BP28" s="78" t="s">
        <v>413</v>
      </c>
      <c r="BR28" s="78" t="s">
        <v>413</v>
      </c>
      <c r="CI28" s="47" t="s">
        <v>32</v>
      </c>
      <c r="CJ28" s="47" t="s">
        <v>32</v>
      </c>
      <c r="CK28" s="45">
        <v>192</v>
      </c>
      <c r="CL28" s="47" t="s">
        <v>23</v>
      </c>
      <c r="CM28" s="77" t="s">
        <v>313</v>
      </c>
      <c r="CN28" s="45">
        <v>192</v>
      </c>
      <c r="CO28" s="45">
        <v>192</v>
      </c>
      <c r="CP28" s="77" t="s">
        <v>313</v>
      </c>
      <c r="CQ28" s="51">
        <v>144</v>
      </c>
      <c r="CR28" s="51">
        <v>144</v>
      </c>
      <c r="CS28" s="51" t="s">
        <v>34</v>
      </c>
      <c r="CT28" s="51" t="s">
        <v>258</v>
      </c>
      <c r="CU28" s="47" t="s">
        <v>24</v>
      </c>
      <c r="CV28" s="47" t="s">
        <v>24</v>
      </c>
      <c r="CW28" s="47" t="s">
        <v>23</v>
      </c>
      <c r="CX28" s="47" t="s">
        <v>23</v>
      </c>
      <c r="CY28" s="47" t="s">
        <v>23</v>
      </c>
      <c r="CZ28" s="47" t="s">
        <v>258</v>
      </c>
      <c r="DA28" s="47" t="s">
        <v>258</v>
      </c>
      <c r="DB28" s="47" t="s">
        <v>34</v>
      </c>
      <c r="DC28" s="47" t="s">
        <v>34</v>
      </c>
      <c r="DD28" s="47" t="s">
        <v>32</v>
      </c>
      <c r="DE28" s="77" t="s">
        <v>313</v>
      </c>
      <c r="DF28" s="77" t="s">
        <v>313</v>
      </c>
      <c r="DG28" s="47" t="s">
        <v>258</v>
      </c>
      <c r="DH28" s="47" t="s">
        <v>258</v>
      </c>
      <c r="DI28" s="47" t="s">
        <v>39</v>
      </c>
      <c r="DJ28" s="47" t="s">
        <v>258</v>
      </c>
      <c r="DK28" s="47" t="s">
        <v>258</v>
      </c>
      <c r="DL28" s="47" t="s">
        <v>258</v>
      </c>
      <c r="DM28" s="47" t="s">
        <v>258</v>
      </c>
      <c r="DN28" s="47" t="s">
        <v>34</v>
      </c>
      <c r="DO28" s="51">
        <v>96</v>
      </c>
      <c r="DP28" s="51">
        <v>96</v>
      </c>
      <c r="DQ28" s="45">
        <v>144</v>
      </c>
      <c r="DR28" s="45">
        <v>144</v>
      </c>
      <c r="DS28" s="45">
        <v>144</v>
      </c>
      <c r="DT28" s="51">
        <v>96</v>
      </c>
      <c r="DU28" s="51">
        <v>96</v>
      </c>
      <c r="DV28" s="45">
        <v>144</v>
      </c>
      <c r="DW28" s="45">
        <v>144</v>
      </c>
      <c r="DX28" s="45">
        <v>144</v>
      </c>
      <c r="EU28" s="47" t="s">
        <v>39</v>
      </c>
      <c r="EV28" s="47" t="s">
        <v>39</v>
      </c>
      <c r="EW28" s="107" t="s">
        <v>39</v>
      </c>
      <c r="EX28" s="107" t="s">
        <v>259</v>
      </c>
      <c r="EY28" s="99" t="s">
        <v>314</v>
      </c>
      <c r="EZ28" s="99" t="s">
        <v>314</v>
      </c>
      <c r="FA28" s="113" t="s">
        <v>39</v>
      </c>
      <c r="FB28" s="47" t="s">
        <v>39</v>
      </c>
      <c r="FC28" s="107" t="s">
        <v>39</v>
      </c>
      <c r="FD28" s="107" t="s">
        <v>259</v>
      </c>
      <c r="FE28" s="99" t="s">
        <v>314</v>
      </c>
      <c r="FF28" s="99" t="s">
        <v>314</v>
      </c>
      <c r="FG28" s="113" t="s">
        <v>258</v>
      </c>
      <c r="FH28" s="47" t="s">
        <v>258</v>
      </c>
      <c r="FI28" s="107" t="s">
        <v>258</v>
      </c>
      <c r="FJ28" s="107" t="s">
        <v>38</v>
      </c>
      <c r="FK28" s="47" t="s">
        <v>154</v>
      </c>
      <c r="FL28" s="72" t="s">
        <v>38</v>
      </c>
      <c r="FM28" s="47" t="s">
        <v>154</v>
      </c>
      <c r="FN28" s="47" t="s">
        <v>154</v>
      </c>
      <c r="XDY28" s="78"/>
    </row>
    <row r="29" spans="1:170 16353:16353" x14ac:dyDescent="0.25">
      <c r="A29" s="51" t="s">
        <v>22</v>
      </c>
      <c r="B29" s="51" t="s">
        <v>22</v>
      </c>
      <c r="C29" s="55" t="s">
        <v>314</v>
      </c>
      <c r="D29" s="51">
        <v>173</v>
      </c>
      <c r="E29" s="51">
        <v>173</v>
      </c>
      <c r="F29" s="51">
        <v>173</v>
      </c>
      <c r="G29" s="55" t="s">
        <v>313</v>
      </c>
      <c r="H29" s="51">
        <v>192</v>
      </c>
      <c r="I29" s="45">
        <v>173</v>
      </c>
      <c r="J29" s="55" t="s">
        <v>314</v>
      </c>
      <c r="K29" s="45" t="s">
        <v>416</v>
      </c>
      <c r="L29" s="51" t="s">
        <v>36</v>
      </c>
      <c r="M29" s="51" t="s">
        <v>36</v>
      </c>
      <c r="N29" s="51" t="s">
        <v>32</v>
      </c>
      <c r="O29" s="69" t="s">
        <v>32</v>
      </c>
      <c r="P29" s="51" t="s">
        <v>32</v>
      </c>
      <c r="Q29" s="45" t="s">
        <v>405</v>
      </c>
      <c r="R29" s="45" t="s">
        <v>405</v>
      </c>
      <c r="S29" s="52" t="s">
        <v>35</v>
      </c>
      <c r="T29" s="52" t="s">
        <v>35</v>
      </c>
      <c r="U29" s="51" t="s">
        <v>22</v>
      </c>
      <c r="V29" s="45">
        <v>173</v>
      </c>
      <c r="W29" s="45">
        <v>173</v>
      </c>
      <c r="X29" s="45" t="s">
        <v>405</v>
      </c>
      <c r="Y29" s="45" t="s">
        <v>405</v>
      </c>
      <c r="AA29" s="55" t="s">
        <v>314</v>
      </c>
      <c r="AB29" s="55" t="s">
        <v>314</v>
      </c>
      <c r="AC29" s="45" t="s">
        <v>405</v>
      </c>
      <c r="AD29" s="45" t="s">
        <v>405</v>
      </c>
      <c r="AE29" s="52" t="s">
        <v>35</v>
      </c>
      <c r="AF29" s="52" t="s">
        <v>35</v>
      </c>
      <c r="AG29" s="34"/>
      <c r="AH29" s="34"/>
      <c r="AI29" s="34"/>
      <c r="AJ29"/>
      <c r="AK29"/>
      <c r="AL29" s="34"/>
      <c r="AM29" s="34"/>
      <c r="AN29" s="34"/>
      <c r="AO29"/>
      <c r="AP29"/>
      <c r="AQ29" s="47" t="s">
        <v>72</v>
      </c>
      <c r="AR29" s="47" t="s">
        <v>72</v>
      </c>
      <c r="AS29" s="47" t="s">
        <v>72</v>
      </c>
      <c r="AT29" s="47" t="s">
        <v>72</v>
      </c>
      <c r="AU29" s="47" t="s">
        <v>72</v>
      </c>
      <c r="AV29" s="47" t="s">
        <v>72</v>
      </c>
      <c r="BN29" s="45" t="s">
        <v>413</v>
      </c>
      <c r="CI29" s="47" t="s">
        <v>33</v>
      </c>
      <c r="CJ29" s="47" t="s">
        <v>33</v>
      </c>
      <c r="CK29" s="60">
        <v>230</v>
      </c>
      <c r="CL29" s="47" t="s">
        <v>36</v>
      </c>
      <c r="CM29" s="47" t="s">
        <v>22</v>
      </c>
      <c r="CN29" s="60">
        <v>230</v>
      </c>
      <c r="CO29" s="60">
        <v>230</v>
      </c>
      <c r="CP29" s="47" t="s">
        <v>22</v>
      </c>
      <c r="CQ29" s="51">
        <v>173</v>
      </c>
      <c r="CR29" s="51">
        <v>173</v>
      </c>
      <c r="CS29" s="51" t="s">
        <v>35</v>
      </c>
      <c r="CT29" s="51" t="s">
        <v>37</v>
      </c>
      <c r="CU29" s="47" t="s">
        <v>25</v>
      </c>
      <c r="CV29" s="47" t="s">
        <v>25</v>
      </c>
      <c r="CW29" s="47" t="s">
        <v>36</v>
      </c>
      <c r="CX29" s="47" t="s">
        <v>36</v>
      </c>
      <c r="CY29" s="47" t="s">
        <v>36</v>
      </c>
      <c r="CZ29" s="47" t="s">
        <v>37</v>
      </c>
      <c r="DA29" s="47" t="s">
        <v>37</v>
      </c>
      <c r="DB29" s="47" t="s">
        <v>35</v>
      </c>
      <c r="DC29" s="47" t="s">
        <v>35</v>
      </c>
      <c r="DD29" s="47" t="s">
        <v>33</v>
      </c>
      <c r="DE29" s="47" t="s">
        <v>22</v>
      </c>
      <c r="DF29" s="47" t="s">
        <v>22</v>
      </c>
      <c r="DG29" s="47" t="s">
        <v>37</v>
      </c>
      <c r="DH29" s="47" t="s">
        <v>37</v>
      </c>
      <c r="DI29" s="47" t="s">
        <v>154</v>
      </c>
      <c r="DJ29" s="47" t="s">
        <v>37</v>
      </c>
      <c r="DK29" s="47" t="s">
        <v>37</v>
      </c>
      <c r="DL29" s="47" t="s">
        <v>37</v>
      </c>
      <c r="DM29" s="47" t="s">
        <v>37</v>
      </c>
      <c r="DN29" s="47" t="s">
        <v>35</v>
      </c>
      <c r="DO29" s="51">
        <v>115</v>
      </c>
      <c r="DP29" s="51">
        <v>115</v>
      </c>
      <c r="DQ29" s="45">
        <v>173</v>
      </c>
      <c r="DR29" s="45">
        <v>173</v>
      </c>
      <c r="DS29" s="45">
        <v>173</v>
      </c>
      <c r="DT29" s="51">
        <v>115</v>
      </c>
      <c r="DU29" s="51">
        <v>115</v>
      </c>
      <c r="DV29" s="45">
        <v>173</v>
      </c>
      <c r="DW29" s="45">
        <v>173</v>
      </c>
      <c r="DX29" s="45">
        <v>173</v>
      </c>
      <c r="EU29" s="47" t="s">
        <v>154</v>
      </c>
      <c r="EV29" s="47" t="s">
        <v>154</v>
      </c>
      <c r="EW29" s="107" t="s">
        <v>154</v>
      </c>
      <c r="EX29" s="107" t="s">
        <v>260</v>
      </c>
      <c r="EY29" s="46" t="s">
        <v>72</v>
      </c>
      <c r="EZ29" s="46" t="s">
        <v>72</v>
      </c>
      <c r="FA29" s="113" t="s">
        <v>154</v>
      </c>
      <c r="FB29" s="47" t="s">
        <v>154</v>
      </c>
      <c r="FC29" s="107" t="s">
        <v>154</v>
      </c>
      <c r="FD29" s="107" t="s">
        <v>260</v>
      </c>
      <c r="FE29" s="46" t="s">
        <v>72</v>
      </c>
      <c r="FF29" s="46" t="s">
        <v>72</v>
      </c>
      <c r="FG29" s="113" t="s">
        <v>37</v>
      </c>
      <c r="FH29" s="47" t="s">
        <v>37</v>
      </c>
      <c r="FI29" s="107" t="s">
        <v>37</v>
      </c>
      <c r="FJ29" s="107" t="s">
        <v>39</v>
      </c>
      <c r="FK29" s="47" t="s">
        <v>259</v>
      </c>
      <c r="FL29" s="72" t="s">
        <v>39</v>
      </c>
      <c r="FM29" s="47" t="s">
        <v>259</v>
      </c>
      <c r="FN29" s="47" t="s">
        <v>259</v>
      </c>
    </row>
    <row r="30" spans="1:170 16353:16353" x14ac:dyDescent="0.25">
      <c r="A30" s="51" t="s">
        <v>32</v>
      </c>
      <c r="B30" s="51" t="s">
        <v>32</v>
      </c>
      <c r="C30" s="45" t="s">
        <v>405</v>
      </c>
      <c r="D30" s="52" t="s">
        <v>200</v>
      </c>
      <c r="E30" s="52" t="s">
        <v>200</v>
      </c>
      <c r="F30" s="52" t="s">
        <v>200</v>
      </c>
      <c r="G30" s="51" t="s">
        <v>22</v>
      </c>
      <c r="H30" s="51">
        <v>230</v>
      </c>
      <c r="I30" s="45">
        <v>192</v>
      </c>
      <c r="J30" s="45" t="s">
        <v>413</v>
      </c>
      <c r="L30" s="51" t="s">
        <v>34</v>
      </c>
      <c r="M30" s="51" t="s">
        <v>34</v>
      </c>
      <c r="N30" s="51" t="s">
        <v>33</v>
      </c>
      <c r="O30" s="69" t="s">
        <v>33</v>
      </c>
      <c r="P30" s="51" t="s">
        <v>33</v>
      </c>
      <c r="Q30" s="45" t="s">
        <v>406</v>
      </c>
      <c r="R30" s="45" t="s">
        <v>406</v>
      </c>
      <c r="S30" s="55" t="s">
        <v>314</v>
      </c>
      <c r="T30" s="55" t="s">
        <v>314</v>
      </c>
      <c r="U30" s="51" t="s">
        <v>32</v>
      </c>
      <c r="V30" s="60" t="s">
        <v>200</v>
      </c>
      <c r="W30" s="60" t="s">
        <v>200</v>
      </c>
      <c r="X30" s="45" t="s">
        <v>406</v>
      </c>
      <c r="Y30" s="45" t="s">
        <v>406</v>
      </c>
      <c r="AA30" s="45" t="s">
        <v>405</v>
      </c>
      <c r="AB30" s="45" t="s">
        <v>405</v>
      </c>
      <c r="AC30" s="45" t="s">
        <v>406</v>
      </c>
      <c r="AD30" s="45" t="s">
        <v>406</v>
      </c>
      <c r="AE30" s="55" t="s">
        <v>314</v>
      </c>
      <c r="AF30" s="55" t="s">
        <v>314</v>
      </c>
      <c r="AQ30" s="60" t="s">
        <v>263</v>
      </c>
      <c r="AR30" s="60" t="s">
        <v>263</v>
      </c>
      <c r="AS30" s="60" t="s">
        <v>263</v>
      </c>
      <c r="AT30" s="60" t="s">
        <v>263</v>
      </c>
      <c r="AU30" s="60" t="s">
        <v>263</v>
      </c>
      <c r="AV30" s="60" t="s">
        <v>263</v>
      </c>
      <c r="CI30" s="47" t="s">
        <v>23</v>
      </c>
      <c r="CJ30" s="47" t="s">
        <v>23</v>
      </c>
      <c r="CK30" s="77" t="s">
        <v>313</v>
      </c>
      <c r="CL30" s="47" t="s">
        <v>24</v>
      </c>
      <c r="CM30" s="47" t="s">
        <v>32</v>
      </c>
      <c r="CN30" s="77" t="s">
        <v>313</v>
      </c>
      <c r="CO30" s="77" t="s">
        <v>313</v>
      </c>
      <c r="CP30" s="47" t="s">
        <v>32</v>
      </c>
      <c r="CQ30" s="51">
        <v>192</v>
      </c>
      <c r="CR30" s="51">
        <v>192</v>
      </c>
      <c r="CS30" s="51" t="s">
        <v>258</v>
      </c>
      <c r="CT30" s="51" t="s">
        <v>38</v>
      </c>
      <c r="CU30" s="47" t="s">
        <v>34</v>
      </c>
      <c r="CV30" s="47" t="s">
        <v>34</v>
      </c>
      <c r="CW30" s="47" t="s">
        <v>24</v>
      </c>
      <c r="CX30" s="47" t="s">
        <v>24</v>
      </c>
      <c r="CY30" s="47" t="s">
        <v>24</v>
      </c>
      <c r="CZ30" s="47" t="s">
        <v>38</v>
      </c>
      <c r="DA30" s="47" t="s">
        <v>38</v>
      </c>
      <c r="DB30" s="47" t="s">
        <v>258</v>
      </c>
      <c r="DC30" s="47" t="s">
        <v>258</v>
      </c>
      <c r="DD30" s="47" t="s">
        <v>23</v>
      </c>
      <c r="DE30" s="47" t="s">
        <v>32</v>
      </c>
      <c r="DF30" s="47" t="s">
        <v>32</v>
      </c>
      <c r="DG30" s="47" t="s">
        <v>38</v>
      </c>
      <c r="DH30" s="47" t="s">
        <v>38</v>
      </c>
      <c r="DI30" s="47" t="s">
        <v>259</v>
      </c>
      <c r="DJ30" s="47" t="s">
        <v>38</v>
      </c>
      <c r="DK30" s="47" t="s">
        <v>38</v>
      </c>
      <c r="DL30" s="47" t="s">
        <v>38</v>
      </c>
      <c r="DM30" s="47" t="s">
        <v>38</v>
      </c>
      <c r="DN30" s="47" t="s">
        <v>258</v>
      </c>
      <c r="DO30" s="51">
        <v>144</v>
      </c>
      <c r="DP30" s="51">
        <v>144</v>
      </c>
      <c r="DQ30" s="45">
        <v>192</v>
      </c>
      <c r="DR30" s="45">
        <v>192</v>
      </c>
      <c r="DS30" s="45">
        <v>192</v>
      </c>
      <c r="DT30" s="51">
        <v>144</v>
      </c>
      <c r="DU30" s="51">
        <v>144</v>
      </c>
      <c r="DV30" s="45">
        <v>192</v>
      </c>
      <c r="DW30" s="45">
        <v>192</v>
      </c>
      <c r="DX30" s="45">
        <v>192</v>
      </c>
      <c r="EU30" s="47" t="s">
        <v>259</v>
      </c>
      <c r="EV30" s="47" t="s">
        <v>259</v>
      </c>
      <c r="EW30" s="107" t="s">
        <v>259</v>
      </c>
      <c r="EX30" s="99" t="s">
        <v>314</v>
      </c>
      <c r="FA30" s="47" t="s">
        <v>259</v>
      </c>
      <c r="FB30" s="47" t="s">
        <v>259</v>
      </c>
      <c r="FC30" s="107" t="s">
        <v>259</v>
      </c>
      <c r="FD30" s="99" t="s">
        <v>314</v>
      </c>
      <c r="FG30" s="47" t="s">
        <v>38</v>
      </c>
      <c r="FH30" s="47" t="s">
        <v>38</v>
      </c>
      <c r="FI30" s="107" t="s">
        <v>38</v>
      </c>
      <c r="FJ30" s="107" t="s">
        <v>154</v>
      </c>
      <c r="FK30" s="47" t="s">
        <v>260</v>
      </c>
      <c r="FL30" s="72" t="s">
        <v>154</v>
      </c>
      <c r="FM30" s="47" t="s">
        <v>260</v>
      </c>
      <c r="FN30" s="47" t="s">
        <v>260</v>
      </c>
    </row>
    <row r="31" spans="1:170 16353:16353" x14ac:dyDescent="0.25">
      <c r="A31" s="51" t="s">
        <v>33</v>
      </c>
      <c r="B31" s="51" t="s">
        <v>33</v>
      </c>
      <c r="C31" s="45" t="s">
        <v>406</v>
      </c>
      <c r="D31" s="55" t="s">
        <v>313</v>
      </c>
      <c r="E31" s="55" t="s">
        <v>313</v>
      </c>
      <c r="F31" s="55" t="s">
        <v>313</v>
      </c>
      <c r="G31" s="51" t="s">
        <v>32</v>
      </c>
      <c r="H31" s="52" t="s">
        <v>200</v>
      </c>
      <c r="I31" s="45">
        <v>230</v>
      </c>
      <c r="J31" s="45" t="s">
        <v>414</v>
      </c>
      <c r="L31" s="52" t="s">
        <v>35</v>
      </c>
      <c r="M31" s="52" t="s">
        <v>35</v>
      </c>
      <c r="N31" s="51" t="s">
        <v>23</v>
      </c>
      <c r="O31" s="69" t="s">
        <v>23</v>
      </c>
      <c r="P31" s="51" t="s">
        <v>23</v>
      </c>
      <c r="S31" s="45" t="s">
        <v>405</v>
      </c>
      <c r="T31" s="45" t="s">
        <v>405</v>
      </c>
      <c r="U31" s="51" t="s">
        <v>33</v>
      </c>
      <c r="V31" s="70" t="s">
        <v>313</v>
      </c>
      <c r="W31" s="70" t="s">
        <v>313</v>
      </c>
      <c r="AA31" s="45" t="s">
        <v>407</v>
      </c>
      <c r="AB31" s="45" t="s">
        <v>407</v>
      </c>
      <c r="AE31" s="45" t="s">
        <v>405</v>
      </c>
      <c r="AF31" s="45" t="s">
        <v>405</v>
      </c>
      <c r="CI31" s="47" t="s">
        <v>36</v>
      </c>
      <c r="CJ31" s="47" t="s">
        <v>36</v>
      </c>
      <c r="CK31" s="47" t="s">
        <v>22</v>
      </c>
      <c r="CL31" s="47" t="s">
        <v>25</v>
      </c>
      <c r="CM31" s="47" t="s">
        <v>33</v>
      </c>
      <c r="CN31" s="47" t="s">
        <v>22</v>
      </c>
      <c r="CO31" s="47" t="s">
        <v>22</v>
      </c>
      <c r="CP31" s="47" t="s">
        <v>33</v>
      </c>
      <c r="CQ31" s="52">
        <v>230</v>
      </c>
      <c r="CR31" s="52">
        <v>230</v>
      </c>
      <c r="CS31" s="51" t="s">
        <v>37</v>
      </c>
      <c r="CT31" s="51" t="s">
        <v>39</v>
      </c>
      <c r="CU31" s="47" t="s">
        <v>35</v>
      </c>
      <c r="CV31" s="47" t="s">
        <v>35</v>
      </c>
      <c r="CW31" s="47" t="s">
        <v>25</v>
      </c>
      <c r="CX31" s="47" t="s">
        <v>25</v>
      </c>
      <c r="CY31" s="47" t="s">
        <v>25</v>
      </c>
      <c r="CZ31" s="47" t="s">
        <v>39</v>
      </c>
      <c r="DA31" s="47" t="s">
        <v>39</v>
      </c>
      <c r="DB31" s="47" t="s">
        <v>37</v>
      </c>
      <c r="DC31" s="47" t="s">
        <v>37</v>
      </c>
      <c r="DD31" s="47" t="s">
        <v>36</v>
      </c>
      <c r="DE31" s="47" t="s">
        <v>33</v>
      </c>
      <c r="DF31" s="47" t="s">
        <v>33</v>
      </c>
      <c r="DG31" s="47" t="s">
        <v>39</v>
      </c>
      <c r="DH31" s="47" t="s">
        <v>39</v>
      </c>
      <c r="DI31" s="76" t="s">
        <v>260</v>
      </c>
      <c r="DJ31" s="47" t="s">
        <v>39</v>
      </c>
      <c r="DK31" s="47" t="s">
        <v>39</v>
      </c>
      <c r="DL31" s="47" t="s">
        <v>39</v>
      </c>
      <c r="DM31" s="47" t="s">
        <v>39</v>
      </c>
      <c r="DN31" s="47" t="s">
        <v>37</v>
      </c>
      <c r="DO31" s="51">
        <v>173</v>
      </c>
      <c r="DP31" s="51">
        <v>173</v>
      </c>
      <c r="DQ31" s="60">
        <v>230</v>
      </c>
      <c r="DR31" s="60">
        <v>230</v>
      </c>
      <c r="DS31" s="60">
        <v>230</v>
      </c>
      <c r="DT31" s="51">
        <v>173</v>
      </c>
      <c r="DU31" s="51">
        <v>173</v>
      </c>
      <c r="DV31" s="60">
        <v>230</v>
      </c>
      <c r="DW31" s="60">
        <v>230</v>
      </c>
      <c r="DX31" s="60">
        <v>230</v>
      </c>
      <c r="EU31" s="47" t="s">
        <v>260</v>
      </c>
      <c r="EV31" s="47" t="s">
        <v>260</v>
      </c>
      <c r="EW31" s="107" t="s">
        <v>260</v>
      </c>
      <c r="EX31" s="46" t="s">
        <v>72</v>
      </c>
      <c r="FA31" s="47" t="s">
        <v>260</v>
      </c>
      <c r="FB31" s="47" t="s">
        <v>260</v>
      </c>
      <c r="FC31" s="107" t="s">
        <v>260</v>
      </c>
      <c r="FD31" s="46" t="s">
        <v>72</v>
      </c>
      <c r="FG31" s="47" t="s">
        <v>39</v>
      </c>
      <c r="FH31" s="47" t="s">
        <v>39</v>
      </c>
      <c r="FI31" s="107" t="s">
        <v>39</v>
      </c>
      <c r="FJ31" s="107" t="s">
        <v>259</v>
      </c>
      <c r="FK31" s="99" t="s">
        <v>314</v>
      </c>
      <c r="FL31" s="72" t="s">
        <v>259</v>
      </c>
      <c r="FM31" s="99" t="s">
        <v>314</v>
      </c>
      <c r="FN31" s="99" t="s">
        <v>314</v>
      </c>
    </row>
    <row r="32" spans="1:170 16353:16353" x14ac:dyDescent="0.25">
      <c r="A32" s="51" t="s">
        <v>23</v>
      </c>
      <c r="B32" s="51" t="s">
        <v>23</v>
      </c>
      <c r="D32" s="51" t="s">
        <v>22</v>
      </c>
      <c r="E32" s="51" t="s">
        <v>22</v>
      </c>
      <c r="F32" s="51" t="s">
        <v>22</v>
      </c>
      <c r="G32" s="51" t="s">
        <v>33</v>
      </c>
      <c r="H32" s="55" t="s">
        <v>313</v>
      </c>
      <c r="I32" s="60" t="s">
        <v>200</v>
      </c>
      <c r="L32" s="55" t="s">
        <v>314</v>
      </c>
      <c r="M32" s="55" t="s">
        <v>314</v>
      </c>
      <c r="N32" s="51" t="s">
        <v>36</v>
      </c>
      <c r="O32" s="69" t="s">
        <v>36</v>
      </c>
      <c r="P32" s="51" t="s">
        <v>36</v>
      </c>
      <c r="S32" s="45" t="s">
        <v>407</v>
      </c>
      <c r="T32" s="45" t="s">
        <v>407</v>
      </c>
      <c r="U32" s="51" t="s">
        <v>23</v>
      </c>
      <c r="V32" s="51" t="s">
        <v>22</v>
      </c>
      <c r="W32" s="51" t="s">
        <v>22</v>
      </c>
      <c r="AA32" s="45" t="s">
        <v>408</v>
      </c>
      <c r="AB32" s="45" t="s">
        <v>408</v>
      </c>
      <c r="AE32" s="45" t="s">
        <v>407</v>
      </c>
      <c r="AF32" s="45" t="s">
        <v>407</v>
      </c>
      <c r="CI32" s="47" t="s">
        <v>24</v>
      </c>
      <c r="CJ32" s="47" t="s">
        <v>24</v>
      </c>
      <c r="CK32" s="47" t="s">
        <v>32</v>
      </c>
      <c r="CL32" s="47" t="s">
        <v>34</v>
      </c>
      <c r="CM32" s="47" t="s">
        <v>23</v>
      </c>
      <c r="CN32" s="47" t="s">
        <v>32</v>
      </c>
      <c r="CO32" s="47" t="s">
        <v>32</v>
      </c>
      <c r="CP32" s="47" t="s">
        <v>23</v>
      </c>
      <c r="CQ32" s="77" t="s">
        <v>313</v>
      </c>
      <c r="CR32" s="77" t="s">
        <v>313</v>
      </c>
      <c r="CS32" s="51" t="s">
        <v>38</v>
      </c>
      <c r="CT32" s="51" t="s">
        <v>154</v>
      </c>
      <c r="CU32" s="47" t="s">
        <v>258</v>
      </c>
      <c r="CV32" s="47" t="s">
        <v>258</v>
      </c>
      <c r="CW32" s="47" t="s">
        <v>34</v>
      </c>
      <c r="CX32" s="47" t="s">
        <v>34</v>
      </c>
      <c r="CY32" s="47" t="s">
        <v>34</v>
      </c>
      <c r="CZ32" s="47" t="s">
        <v>154</v>
      </c>
      <c r="DA32" s="47" t="s">
        <v>154</v>
      </c>
      <c r="DB32" s="47" t="s">
        <v>38</v>
      </c>
      <c r="DC32" s="47" t="s">
        <v>38</v>
      </c>
      <c r="DD32" s="47" t="s">
        <v>24</v>
      </c>
      <c r="DE32" s="47" t="s">
        <v>23</v>
      </c>
      <c r="DF32" s="47" t="s">
        <v>23</v>
      </c>
      <c r="DG32" s="47" t="s">
        <v>154</v>
      </c>
      <c r="DH32" s="47" t="s">
        <v>154</v>
      </c>
      <c r="DI32" s="55" t="s">
        <v>314</v>
      </c>
      <c r="DJ32" s="47" t="s">
        <v>154</v>
      </c>
      <c r="DK32" s="47" t="s">
        <v>154</v>
      </c>
      <c r="DL32" s="47" t="s">
        <v>154</v>
      </c>
      <c r="DM32" s="47" t="s">
        <v>154</v>
      </c>
      <c r="DN32" s="47" t="s">
        <v>38</v>
      </c>
      <c r="DO32" s="51">
        <v>192</v>
      </c>
      <c r="DP32" s="51">
        <v>192</v>
      </c>
      <c r="DQ32" s="77" t="s">
        <v>313</v>
      </c>
      <c r="DR32" s="77" t="s">
        <v>313</v>
      </c>
      <c r="DS32" s="77" t="s">
        <v>313</v>
      </c>
      <c r="DT32" s="51">
        <v>192</v>
      </c>
      <c r="DU32" s="51">
        <v>192</v>
      </c>
      <c r="DV32" s="77" t="s">
        <v>313</v>
      </c>
      <c r="DW32" s="77" t="s">
        <v>313</v>
      </c>
      <c r="DX32" s="77" t="s">
        <v>313</v>
      </c>
      <c r="EU32" s="99" t="s">
        <v>314</v>
      </c>
      <c r="EV32" s="99" t="s">
        <v>314</v>
      </c>
      <c r="EW32" s="99" t="s">
        <v>314</v>
      </c>
      <c r="FA32" s="99" t="s">
        <v>314</v>
      </c>
      <c r="FB32" s="99" t="s">
        <v>314</v>
      </c>
      <c r="FC32" s="99" t="s">
        <v>314</v>
      </c>
      <c r="FG32" s="47" t="s">
        <v>154</v>
      </c>
      <c r="FH32" s="47" t="s">
        <v>154</v>
      </c>
      <c r="FI32" s="107" t="s">
        <v>154</v>
      </c>
      <c r="FJ32" s="107" t="s">
        <v>260</v>
      </c>
      <c r="FK32" s="46" t="s">
        <v>72</v>
      </c>
      <c r="FL32" s="72" t="s">
        <v>260</v>
      </c>
      <c r="FM32" s="46" t="s">
        <v>72</v>
      </c>
      <c r="FN32" s="46" t="s">
        <v>72</v>
      </c>
    </row>
    <row r="33" spans="1:168" x14ac:dyDescent="0.25">
      <c r="A33" s="51" t="s">
        <v>36</v>
      </c>
      <c r="B33" s="51" t="s">
        <v>36</v>
      </c>
      <c r="D33" s="51" t="s">
        <v>32</v>
      </c>
      <c r="E33" s="51" t="s">
        <v>32</v>
      </c>
      <c r="F33" s="51" t="s">
        <v>32</v>
      </c>
      <c r="G33" s="51" t="s">
        <v>23</v>
      </c>
      <c r="H33" s="51" t="s">
        <v>22</v>
      </c>
      <c r="I33" s="61" t="s">
        <v>313</v>
      </c>
      <c r="L33" s="45" t="s">
        <v>405</v>
      </c>
      <c r="M33" s="45" t="s">
        <v>405</v>
      </c>
      <c r="N33" s="51" t="s">
        <v>34</v>
      </c>
      <c r="O33" s="69" t="s">
        <v>34</v>
      </c>
      <c r="P33" s="51" t="s">
        <v>34</v>
      </c>
      <c r="S33" s="45" t="s">
        <v>408</v>
      </c>
      <c r="T33" s="45" t="s">
        <v>408</v>
      </c>
      <c r="U33" s="51" t="s">
        <v>36</v>
      </c>
      <c r="V33" s="51" t="s">
        <v>32</v>
      </c>
      <c r="W33" s="51" t="s">
        <v>32</v>
      </c>
      <c r="AA33" s="45" t="s">
        <v>409</v>
      </c>
      <c r="AB33" s="45" t="s">
        <v>409</v>
      </c>
      <c r="AE33" s="45" t="s">
        <v>408</v>
      </c>
      <c r="AF33" s="45" t="s">
        <v>408</v>
      </c>
      <c r="CI33" s="47" t="s">
        <v>25</v>
      </c>
      <c r="CJ33" s="47" t="s">
        <v>25</v>
      </c>
      <c r="CK33" s="47" t="s">
        <v>33</v>
      </c>
      <c r="CL33" s="47" t="s">
        <v>35</v>
      </c>
      <c r="CM33" s="47" t="s">
        <v>36</v>
      </c>
      <c r="CN33" s="47" t="s">
        <v>33</v>
      </c>
      <c r="CO33" s="47" t="s">
        <v>33</v>
      </c>
      <c r="CP33" s="47" t="s">
        <v>36</v>
      </c>
      <c r="CQ33" s="51" t="s">
        <v>22</v>
      </c>
      <c r="CR33" s="51" t="s">
        <v>22</v>
      </c>
      <c r="CS33" s="51" t="s">
        <v>39</v>
      </c>
      <c r="CT33" s="51" t="s">
        <v>259</v>
      </c>
      <c r="CU33" s="47" t="s">
        <v>37</v>
      </c>
      <c r="CV33" s="47" t="s">
        <v>37</v>
      </c>
      <c r="CW33" s="47" t="s">
        <v>35</v>
      </c>
      <c r="CX33" s="47" t="s">
        <v>35</v>
      </c>
      <c r="CY33" s="47" t="s">
        <v>35</v>
      </c>
      <c r="CZ33" s="47" t="s">
        <v>259</v>
      </c>
      <c r="DA33" s="47" t="s">
        <v>259</v>
      </c>
      <c r="DB33" s="47" t="s">
        <v>39</v>
      </c>
      <c r="DC33" s="47" t="s">
        <v>39</v>
      </c>
      <c r="DD33" s="47" t="s">
        <v>25</v>
      </c>
      <c r="DE33" s="47" t="s">
        <v>36</v>
      </c>
      <c r="DF33" s="47" t="s">
        <v>36</v>
      </c>
      <c r="DG33" s="47" t="s">
        <v>259</v>
      </c>
      <c r="DH33" s="47" t="s">
        <v>259</v>
      </c>
      <c r="DI33" s="45" t="s">
        <v>405</v>
      </c>
      <c r="DJ33" s="47" t="s">
        <v>259</v>
      </c>
      <c r="DK33" s="47" t="s">
        <v>259</v>
      </c>
      <c r="DL33" s="47" t="s">
        <v>259</v>
      </c>
      <c r="DM33" s="47" t="s">
        <v>259</v>
      </c>
      <c r="DN33" s="47" t="s">
        <v>39</v>
      </c>
      <c r="DO33" s="52">
        <v>230</v>
      </c>
      <c r="DP33" s="52">
        <v>230</v>
      </c>
      <c r="DQ33" s="60" t="s">
        <v>22</v>
      </c>
      <c r="DR33" s="60" t="s">
        <v>22</v>
      </c>
      <c r="DS33" s="60" t="s">
        <v>22</v>
      </c>
      <c r="DT33" s="52">
        <v>230</v>
      </c>
      <c r="DU33" s="52">
        <v>230</v>
      </c>
      <c r="DV33" s="60" t="s">
        <v>22</v>
      </c>
      <c r="DW33" s="60" t="s">
        <v>22</v>
      </c>
      <c r="DX33" s="60" t="s">
        <v>22</v>
      </c>
      <c r="EU33" s="46" t="s">
        <v>72</v>
      </c>
      <c r="EV33" s="46" t="s">
        <v>72</v>
      </c>
      <c r="EW33" s="46" t="s">
        <v>72</v>
      </c>
      <c r="FA33" s="46" t="s">
        <v>72</v>
      </c>
      <c r="FB33" s="46" t="s">
        <v>72</v>
      </c>
      <c r="FC33" s="46" t="s">
        <v>72</v>
      </c>
      <c r="FG33" s="47" t="s">
        <v>259</v>
      </c>
      <c r="FH33" s="47" t="s">
        <v>259</v>
      </c>
      <c r="FI33" s="107" t="s">
        <v>259</v>
      </c>
      <c r="FJ33" s="99" t="s">
        <v>314</v>
      </c>
      <c r="FL33" s="99" t="s">
        <v>314</v>
      </c>
    </row>
    <row r="34" spans="1:168" x14ac:dyDescent="0.25">
      <c r="A34" s="51" t="s">
        <v>34</v>
      </c>
      <c r="B34" s="51" t="s">
        <v>34</v>
      </c>
      <c r="D34" s="51" t="s">
        <v>33</v>
      </c>
      <c r="E34" s="51" t="s">
        <v>33</v>
      </c>
      <c r="F34" s="51" t="s">
        <v>33</v>
      </c>
      <c r="G34" s="51" t="s">
        <v>36</v>
      </c>
      <c r="H34" s="51" t="s">
        <v>32</v>
      </c>
      <c r="I34" s="45" t="s">
        <v>22</v>
      </c>
      <c r="L34" s="45" t="s">
        <v>406</v>
      </c>
      <c r="M34" s="45" t="s">
        <v>406</v>
      </c>
      <c r="N34" s="52" t="s">
        <v>35</v>
      </c>
      <c r="O34" s="69" t="s">
        <v>35</v>
      </c>
      <c r="P34" s="52" t="s">
        <v>35</v>
      </c>
      <c r="S34" s="45" t="s">
        <v>409</v>
      </c>
      <c r="T34" s="45" t="s">
        <v>409</v>
      </c>
      <c r="U34" s="51" t="s">
        <v>34</v>
      </c>
      <c r="V34" s="51" t="s">
        <v>33</v>
      </c>
      <c r="W34" s="51" t="s">
        <v>33</v>
      </c>
      <c r="AA34" s="45" t="s">
        <v>410</v>
      </c>
      <c r="AB34" s="45" t="s">
        <v>410</v>
      </c>
      <c r="AE34" s="45" t="s">
        <v>409</v>
      </c>
      <c r="AF34" s="45" t="s">
        <v>409</v>
      </c>
      <c r="CI34" s="47" t="s">
        <v>34</v>
      </c>
      <c r="CJ34" s="47" t="s">
        <v>34</v>
      </c>
      <c r="CK34" s="47" t="s">
        <v>23</v>
      </c>
      <c r="CL34" s="47" t="s">
        <v>258</v>
      </c>
      <c r="CM34" s="47" t="s">
        <v>24</v>
      </c>
      <c r="CN34" s="47" t="s">
        <v>23</v>
      </c>
      <c r="CO34" s="47" t="s">
        <v>23</v>
      </c>
      <c r="CP34" s="47" t="s">
        <v>24</v>
      </c>
      <c r="CQ34" s="51" t="s">
        <v>32</v>
      </c>
      <c r="CR34" s="51" t="s">
        <v>32</v>
      </c>
      <c r="CS34" s="51" t="s">
        <v>154</v>
      </c>
      <c r="CT34" s="51" t="s">
        <v>260</v>
      </c>
      <c r="CU34" s="47" t="s">
        <v>38</v>
      </c>
      <c r="CV34" s="47" t="s">
        <v>38</v>
      </c>
      <c r="CW34" s="47" t="s">
        <v>258</v>
      </c>
      <c r="CX34" s="47" t="s">
        <v>258</v>
      </c>
      <c r="CY34" s="47" t="s">
        <v>258</v>
      </c>
      <c r="CZ34" s="76" t="s">
        <v>260</v>
      </c>
      <c r="DA34" s="76" t="s">
        <v>260</v>
      </c>
      <c r="DB34" s="47" t="s">
        <v>154</v>
      </c>
      <c r="DC34" s="47" t="s">
        <v>154</v>
      </c>
      <c r="DD34" s="47" t="s">
        <v>34</v>
      </c>
      <c r="DE34" s="47" t="s">
        <v>24</v>
      </c>
      <c r="DF34" s="47" t="s">
        <v>24</v>
      </c>
      <c r="DG34" s="76" t="s">
        <v>260</v>
      </c>
      <c r="DH34" s="76" t="s">
        <v>260</v>
      </c>
      <c r="DI34" s="45" t="s">
        <v>419</v>
      </c>
      <c r="DJ34" s="76" t="s">
        <v>260</v>
      </c>
      <c r="DK34" s="76" t="s">
        <v>260</v>
      </c>
      <c r="DL34" s="76" t="s">
        <v>260</v>
      </c>
      <c r="DM34" s="76" t="s">
        <v>260</v>
      </c>
      <c r="DN34" s="47" t="s">
        <v>154</v>
      </c>
      <c r="DO34" s="77" t="s">
        <v>313</v>
      </c>
      <c r="DP34" s="77" t="s">
        <v>313</v>
      </c>
      <c r="DQ34" s="55" t="s">
        <v>314</v>
      </c>
      <c r="DR34" s="55" t="s">
        <v>314</v>
      </c>
      <c r="DS34" s="55" t="s">
        <v>314</v>
      </c>
      <c r="DT34" s="77" t="s">
        <v>313</v>
      </c>
      <c r="DU34" s="77" t="s">
        <v>313</v>
      </c>
      <c r="DV34" s="55" t="s">
        <v>314</v>
      </c>
      <c r="DW34" s="55" t="s">
        <v>314</v>
      </c>
      <c r="DX34" s="55" t="s">
        <v>314</v>
      </c>
      <c r="FG34" s="47" t="s">
        <v>260</v>
      </c>
      <c r="FH34" s="47" t="s">
        <v>260</v>
      </c>
      <c r="FI34" s="107" t="s">
        <v>260</v>
      </c>
      <c r="FJ34" s="46" t="s">
        <v>72</v>
      </c>
      <c r="FL34" s="46" t="s">
        <v>72</v>
      </c>
    </row>
    <row r="35" spans="1:168" x14ac:dyDescent="0.25">
      <c r="A35" s="52" t="s">
        <v>35</v>
      </c>
      <c r="B35" s="51" t="s">
        <v>35</v>
      </c>
      <c r="D35" s="51" t="s">
        <v>23</v>
      </c>
      <c r="E35" s="51" t="s">
        <v>23</v>
      </c>
      <c r="F35" s="51" t="s">
        <v>23</v>
      </c>
      <c r="G35" s="51" t="s">
        <v>34</v>
      </c>
      <c r="H35" s="51" t="s">
        <v>33</v>
      </c>
      <c r="I35" s="45" t="s">
        <v>32</v>
      </c>
      <c r="N35" s="55" t="s">
        <v>314</v>
      </c>
      <c r="O35" s="70" t="s">
        <v>314</v>
      </c>
      <c r="P35" s="55" t="s">
        <v>314</v>
      </c>
      <c r="S35" s="45" t="s">
        <v>410</v>
      </c>
      <c r="T35" s="45" t="s">
        <v>410</v>
      </c>
      <c r="U35" s="52" t="s">
        <v>35</v>
      </c>
      <c r="V35" s="51" t="s">
        <v>23</v>
      </c>
      <c r="W35" s="51" t="s">
        <v>23</v>
      </c>
      <c r="AE35" s="45" t="s">
        <v>410</v>
      </c>
      <c r="AF35" s="45" t="s">
        <v>410</v>
      </c>
      <c r="CI35" s="47" t="s">
        <v>35</v>
      </c>
      <c r="CJ35" s="47" t="s">
        <v>35</v>
      </c>
      <c r="CK35" s="47" t="s">
        <v>36</v>
      </c>
      <c r="CL35" s="47" t="s">
        <v>37</v>
      </c>
      <c r="CM35" s="47" t="s">
        <v>25</v>
      </c>
      <c r="CN35" s="47" t="s">
        <v>36</v>
      </c>
      <c r="CO35" s="47" t="s">
        <v>36</v>
      </c>
      <c r="CP35" s="47" t="s">
        <v>25</v>
      </c>
      <c r="CQ35" s="51" t="s">
        <v>33</v>
      </c>
      <c r="CR35" s="51" t="s">
        <v>33</v>
      </c>
      <c r="CS35" s="51" t="s">
        <v>259</v>
      </c>
      <c r="CT35" s="55" t="s">
        <v>314</v>
      </c>
      <c r="CU35" s="47" t="s">
        <v>39</v>
      </c>
      <c r="CV35" s="47" t="s">
        <v>39</v>
      </c>
      <c r="CW35" s="47" t="s">
        <v>37</v>
      </c>
      <c r="CX35" s="47" t="s">
        <v>37</v>
      </c>
      <c r="CY35" s="47" t="s">
        <v>37</v>
      </c>
      <c r="CZ35" s="55" t="s">
        <v>314</v>
      </c>
      <c r="DA35" s="55" t="s">
        <v>314</v>
      </c>
      <c r="DB35" s="47" t="s">
        <v>259</v>
      </c>
      <c r="DC35" s="47" t="s">
        <v>259</v>
      </c>
      <c r="DD35" s="47" t="s">
        <v>35</v>
      </c>
      <c r="DE35" s="47" t="s">
        <v>25</v>
      </c>
      <c r="DF35" s="47" t="s">
        <v>25</v>
      </c>
      <c r="DG35" s="55" t="s">
        <v>314</v>
      </c>
      <c r="DH35" s="55" t="s">
        <v>314</v>
      </c>
      <c r="DJ35" s="55" t="s">
        <v>314</v>
      </c>
      <c r="DK35" s="55" t="s">
        <v>314</v>
      </c>
      <c r="DL35" s="55" t="s">
        <v>314</v>
      </c>
      <c r="DM35" s="55" t="s">
        <v>314</v>
      </c>
      <c r="DN35" s="47" t="s">
        <v>259</v>
      </c>
      <c r="DO35" s="52" t="s">
        <v>22</v>
      </c>
      <c r="DP35" s="52" t="s">
        <v>22</v>
      </c>
      <c r="DQ35" s="45" t="s">
        <v>262</v>
      </c>
      <c r="DR35" s="45" t="s">
        <v>262</v>
      </c>
      <c r="DS35" s="45" t="s">
        <v>262</v>
      </c>
      <c r="DT35" s="52" t="s">
        <v>22</v>
      </c>
      <c r="DU35" s="52" t="s">
        <v>22</v>
      </c>
      <c r="DV35" s="45" t="s">
        <v>262</v>
      </c>
      <c r="DW35" s="45" t="s">
        <v>262</v>
      </c>
      <c r="DX35" s="45" t="s">
        <v>262</v>
      </c>
      <c r="FG35" s="99" t="s">
        <v>314</v>
      </c>
      <c r="FH35" s="99" t="s">
        <v>314</v>
      </c>
      <c r="FI35" s="99" t="s">
        <v>314</v>
      </c>
    </row>
    <row r="36" spans="1:168" x14ac:dyDescent="0.25">
      <c r="A36" s="55" t="s">
        <v>314</v>
      </c>
      <c r="B36" s="55" t="s">
        <v>314</v>
      </c>
      <c r="D36" s="51" t="s">
        <v>36</v>
      </c>
      <c r="E36" s="51" t="s">
        <v>36</v>
      </c>
      <c r="F36" s="51" t="s">
        <v>36</v>
      </c>
      <c r="G36" s="52" t="s">
        <v>35</v>
      </c>
      <c r="H36" s="51" t="s">
        <v>23</v>
      </c>
      <c r="I36" s="45" t="s">
        <v>33</v>
      </c>
      <c r="N36" s="45" t="s">
        <v>405</v>
      </c>
      <c r="O36" s="45" t="s">
        <v>405</v>
      </c>
      <c r="P36" s="45" t="s">
        <v>405</v>
      </c>
      <c r="U36" s="55" t="s">
        <v>314</v>
      </c>
      <c r="V36" s="51" t="s">
        <v>36</v>
      </c>
      <c r="W36" s="51" t="s">
        <v>36</v>
      </c>
      <c r="CI36" s="47" t="s">
        <v>258</v>
      </c>
      <c r="CJ36" s="47" t="s">
        <v>258</v>
      </c>
      <c r="CK36" s="47" t="s">
        <v>24</v>
      </c>
      <c r="CL36" s="47" t="s">
        <v>38</v>
      </c>
      <c r="CM36" s="47" t="s">
        <v>34</v>
      </c>
      <c r="CN36" s="47" t="s">
        <v>24</v>
      </c>
      <c r="CO36" s="47" t="s">
        <v>24</v>
      </c>
      <c r="CP36" s="47" t="s">
        <v>34</v>
      </c>
      <c r="CQ36" s="51" t="s">
        <v>23</v>
      </c>
      <c r="CR36" s="51" t="s">
        <v>23</v>
      </c>
      <c r="CS36" s="51" t="s">
        <v>260</v>
      </c>
      <c r="CT36" s="45" t="s">
        <v>416</v>
      </c>
      <c r="CU36" s="47" t="s">
        <v>154</v>
      </c>
      <c r="CV36" s="47" t="s">
        <v>154</v>
      </c>
      <c r="CW36" s="47" t="s">
        <v>38</v>
      </c>
      <c r="CX36" s="47" t="s">
        <v>38</v>
      </c>
      <c r="CY36" s="47" t="s">
        <v>38</v>
      </c>
      <c r="CZ36" s="45" t="s">
        <v>405</v>
      </c>
      <c r="DA36" s="45" t="s">
        <v>405</v>
      </c>
      <c r="DB36" s="76" t="s">
        <v>260</v>
      </c>
      <c r="DC36" s="76" t="s">
        <v>260</v>
      </c>
      <c r="DD36" s="47" t="s">
        <v>258</v>
      </c>
      <c r="DE36" s="47" t="s">
        <v>34</v>
      </c>
      <c r="DF36" s="47" t="s">
        <v>34</v>
      </c>
      <c r="DG36" s="45" t="s">
        <v>405</v>
      </c>
      <c r="DH36" s="45" t="s">
        <v>405</v>
      </c>
      <c r="DJ36" s="45" t="s">
        <v>405</v>
      </c>
      <c r="DK36" s="45" t="s">
        <v>405</v>
      </c>
      <c r="DL36" s="45" t="s">
        <v>405</v>
      </c>
      <c r="DM36" s="45" t="s">
        <v>405</v>
      </c>
      <c r="DN36" s="76" t="s">
        <v>260</v>
      </c>
      <c r="DO36" s="55" t="s">
        <v>314</v>
      </c>
      <c r="DP36" s="54" t="s">
        <v>314</v>
      </c>
      <c r="DT36" s="54" t="s">
        <v>314</v>
      </c>
      <c r="DU36" s="54" t="s">
        <v>314</v>
      </c>
      <c r="FG36" s="46" t="s">
        <v>72</v>
      </c>
      <c r="FH36" s="46" t="s">
        <v>72</v>
      </c>
      <c r="FI36" s="46" t="s">
        <v>72</v>
      </c>
    </row>
    <row r="37" spans="1:168" x14ac:dyDescent="0.25">
      <c r="A37" s="45" t="s">
        <v>405</v>
      </c>
      <c r="B37" s="45" t="s">
        <v>405</v>
      </c>
      <c r="D37" s="51" t="s">
        <v>34</v>
      </c>
      <c r="E37" s="51" t="s">
        <v>34</v>
      </c>
      <c r="F37" s="51" t="s">
        <v>34</v>
      </c>
      <c r="G37" s="55" t="s">
        <v>314</v>
      </c>
      <c r="H37" s="51" t="s">
        <v>36</v>
      </c>
      <c r="I37" s="45" t="s">
        <v>23</v>
      </c>
      <c r="N37" s="45" t="s">
        <v>407</v>
      </c>
      <c r="O37" s="45" t="s">
        <v>407</v>
      </c>
      <c r="P37" s="45" t="s">
        <v>411</v>
      </c>
      <c r="U37" s="45" t="s">
        <v>405</v>
      </c>
      <c r="V37" s="51" t="s">
        <v>34</v>
      </c>
      <c r="W37" s="51" t="s">
        <v>34</v>
      </c>
      <c r="CI37" s="47" t="s">
        <v>37</v>
      </c>
      <c r="CJ37" s="47" t="s">
        <v>37</v>
      </c>
      <c r="CK37" s="47" t="s">
        <v>25</v>
      </c>
      <c r="CL37" s="47" t="s">
        <v>39</v>
      </c>
      <c r="CM37" s="47" t="s">
        <v>35</v>
      </c>
      <c r="CN37" s="47" t="s">
        <v>25</v>
      </c>
      <c r="CO37" s="47" t="s">
        <v>25</v>
      </c>
      <c r="CP37" s="47" t="s">
        <v>35</v>
      </c>
      <c r="CQ37" s="51" t="s">
        <v>36</v>
      </c>
      <c r="CR37" s="51" t="s">
        <v>36</v>
      </c>
      <c r="CS37" s="55" t="s">
        <v>314</v>
      </c>
      <c r="CT37" s="47" t="s">
        <v>414</v>
      </c>
      <c r="CU37" s="47" t="s">
        <v>259</v>
      </c>
      <c r="CV37" s="47" t="s">
        <v>259</v>
      </c>
      <c r="CW37" s="47" t="s">
        <v>39</v>
      </c>
      <c r="CX37" s="47" t="s">
        <v>39</v>
      </c>
      <c r="CY37" s="47" t="s">
        <v>39</v>
      </c>
      <c r="CZ37" s="45" t="s">
        <v>419</v>
      </c>
      <c r="DA37" s="45" t="s">
        <v>419</v>
      </c>
      <c r="DB37" s="55" t="s">
        <v>314</v>
      </c>
      <c r="DC37" s="55" t="s">
        <v>314</v>
      </c>
      <c r="DD37" s="47" t="s">
        <v>37</v>
      </c>
      <c r="DE37" s="47" t="s">
        <v>35</v>
      </c>
      <c r="DF37" s="47" t="s">
        <v>35</v>
      </c>
      <c r="DG37" s="45" t="s">
        <v>419</v>
      </c>
      <c r="DH37" s="45" t="s">
        <v>419</v>
      </c>
      <c r="DJ37" s="45" t="s">
        <v>420</v>
      </c>
      <c r="DK37" s="45" t="s">
        <v>420</v>
      </c>
      <c r="DL37" s="45" t="s">
        <v>419</v>
      </c>
      <c r="DM37" s="45" t="s">
        <v>419</v>
      </c>
      <c r="DN37" s="55" t="s">
        <v>314</v>
      </c>
      <c r="DO37" s="45" t="s">
        <v>262</v>
      </c>
      <c r="DP37" s="45" t="s">
        <v>262</v>
      </c>
      <c r="DT37" s="45" t="s">
        <v>262</v>
      </c>
      <c r="DU37" s="45" t="s">
        <v>262</v>
      </c>
    </row>
    <row r="38" spans="1:168" x14ac:dyDescent="0.25">
      <c r="A38" s="45" t="s">
        <v>406</v>
      </c>
      <c r="B38" s="45" t="s">
        <v>406</v>
      </c>
      <c r="D38" s="52" t="s">
        <v>35</v>
      </c>
      <c r="E38" s="52" t="s">
        <v>35</v>
      </c>
      <c r="F38" s="52" t="s">
        <v>35</v>
      </c>
      <c r="G38" s="45" t="s">
        <v>405</v>
      </c>
      <c r="H38" s="51" t="s">
        <v>34</v>
      </c>
      <c r="I38" s="45" t="s">
        <v>36</v>
      </c>
      <c r="N38" s="45" t="s">
        <v>408</v>
      </c>
      <c r="O38" s="45" t="s">
        <v>408</v>
      </c>
      <c r="P38" s="45" t="s">
        <v>409</v>
      </c>
      <c r="U38" s="45" t="s">
        <v>406</v>
      </c>
      <c r="V38" s="52" t="s">
        <v>35</v>
      </c>
      <c r="W38" s="52" t="s">
        <v>35</v>
      </c>
      <c r="CI38" s="47" t="s">
        <v>38</v>
      </c>
      <c r="CJ38" s="47" t="s">
        <v>38</v>
      </c>
      <c r="CK38" s="47" t="s">
        <v>34</v>
      </c>
      <c r="CL38" s="47" t="s">
        <v>154</v>
      </c>
      <c r="CM38" s="47" t="s">
        <v>258</v>
      </c>
      <c r="CN38" s="47" t="s">
        <v>34</v>
      </c>
      <c r="CO38" s="47" t="s">
        <v>34</v>
      </c>
      <c r="CP38" s="47" t="s">
        <v>258</v>
      </c>
      <c r="CQ38" s="51" t="s">
        <v>24</v>
      </c>
      <c r="CR38" s="51" t="s">
        <v>24</v>
      </c>
      <c r="CS38" s="47" t="s">
        <v>414</v>
      </c>
      <c r="CU38" s="76" t="s">
        <v>260</v>
      </c>
      <c r="CV38" s="76" t="s">
        <v>260</v>
      </c>
      <c r="CW38" s="47" t="s">
        <v>154</v>
      </c>
      <c r="CX38" s="47" t="s">
        <v>154</v>
      </c>
      <c r="CY38" s="47" t="s">
        <v>154</v>
      </c>
      <c r="DB38" s="45" t="s">
        <v>405</v>
      </c>
      <c r="DC38" s="45" t="s">
        <v>405</v>
      </c>
      <c r="DD38" s="47" t="s">
        <v>38</v>
      </c>
      <c r="DE38" s="47" t="s">
        <v>258</v>
      </c>
      <c r="DF38" s="47" t="s">
        <v>258</v>
      </c>
      <c r="DN38" s="45" t="s">
        <v>405</v>
      </c>
    </row>
    <row r="39" spans="1:168" x14ac:dyDescent="0.25">
      <c r="D39" s="55" t="s">
        <v>314</v>
      </c>
      <c r="E39" s="55" t="s">
        <v>314</v>
      </c>
      <c r="F39" s="55" t="s">
        <v>314</v>
      </c>
      <c r="G39" s="45" t="s">
        <v>413</v>
      </c>
      <c r="H39" s="52" t="s">
        <v>35</v>
      </c>
      <c r="I39" s="45" t="s">
        <v>34</v>
      </c>
      <c r="N39" s="45" t="s">
        <v>409</v>
      </c>
      <c r="O39" s="45" t="s">
        <v>409</v>
      </c>
      <c r="V39" s="55" t="s">
        <v>314</v>
      </c>
      <c r="W39" s="55" t="s">
        <v>314</v>
      </c>
      <c r="CI39" s="47" t="s">
        <v>39</v>
      </c>
      <c r="CJ39" s="47" t="s">
        <v>39</v>
      </c>
      <c r="CK39" s="47" t="s">
        <v>35</v>
      </c>
      <c r="CL39" s="47" t="s">
        <v>259</v>
      </c>
      <c r="CM39" s="47" t="s">
        <v>37</v>
      </c>
      <c r="CN39" s="47" t="s">
        <v>35</v>
      </c>
      <c r="CO39" s="47" t="s">
        <v>35</v>
      </c>
      <c r="CP39" s="47" t="s">
        <v>37</v>
      </c>
      <c r="CQ39" s="51" t="s">
        <v>25</v>
      </c>
      <c r="CR39" s="51" t="s">
        <v>25</v>
      </c>
      <c r="CS39" s="45" t="s">
        <v>416</v>
      </c>
      <c r="CU39" s="55" t="s">
        <v>314</v>
      </c>
      <c r="CV39" s="55" t="s">
        <v>314</v>
      </c>
      <c r="CW39" s="47" t="s">
        <v>259</v>
      </c>
      <c r="CX39" s="47" t="s">
        <v>259</v>
      </c>
      <c r="CY39" s="47" t="s">
        <v>259</v>
      </c>
      <c r="DB39" s="45" t="s">
        <v>420</v>
      </c>
      <c r="DC39" s="45" t="s">
        <v>420</v>
      </c>
      <c r="DD39" s="47" t="s">
        <v>39</v>
      </c>
      <c r="DE39" s="47" t="s">
        <v>37</v>
      </c>
      <c r="DF39" s="47" t="s">
        <v>37</v>
      </c>
      <c r="DN39" s="45" t="s">
        <v>420</v>
      </c>
    </row>
    <row r="40" spans="1:168" x14ac:dyDescent="0.25">
      <c r="D40" s="45" t="s">
        <v>405</v>
      </c>
      <c r="E40" s="45" t="s">
        <v>405</v>
      </c>
      <c r="F40" s="45" t="s">
        <v>405</v>
      </c>
      <c r="G40" s="45" t="s">
        <v>414</v>
      </c>
      <c r="H40" s="55" t="s">
        <v>314</v>
      </c>
      <c r="I40" s="60" t="s">
        <v>35</v>
      </c>
      <c r="N40" s="45" t="s">
        <v>410</v>
      </c>
      <c r="O40" s="45" t="s">
        <v>410</v>
      </c>
      <c r="V40" s="45" t="s">
        <v>405</v>
      </c>
      <c r="W40" s="45" t="s">
        <v>405</v>
      </c>
      <c r="CI40" s="47" t="s">
        <v>154</v>
      </c>
      <c r="CJ40" s="47" t="s">
        <v>154</v>
      </c>
      <c r="CK40" s="47" t="s">
        <v>258</v>
      </c>
      <c r="CL40" s="76" t="s">
        <v>260</v>
      </c>
      <c r="CM40" s="47" t="s">
        <v>38</v>
      </c>
      <c r="CN40" s="47" t="s">
        <v>258</v>
      </c>
      <c r="CO40" s="47" t="s">
        <v>258</v>
      </c>
      <c r="CP40" s="47" t="s">
        <v>38</v>
      </c>
      <c r="CQ40" s="51" t="s">
        <v>34</v>
      </c>
      <c r="CR40" s="51" t="s">
        <v>34</v>
      </c>
      <c r="CU40" s="45" t="s">
        <v>405</v>
      </c>
      <c r="CV40" s="45" t="s">
        <v>405</v>
      </c>
      <c r="CW40" s="76" t="s">
        <v>260</v>
      </c>
      <c r="CX40" s="76" t="s">
        <v>260</v>
      </c>
      <c r="CY40" s="76" t="s">
        <v>260</v>
      </c>
      <c r="DD40" s="47" t="s">
        <v>154</v>
      </c>
      <c r="DE40" s="47" t="s">
        <v>38</v>
      </c>
      <c r="DF40" s="47" t="s">
        <v>38</v>
      </c>
    </row>
    <row r="41" spans="1:168" x14ac:dyDescent="0.25">
      <c r="D41" s="45" t="s">
        <v>407</v>
      </c>
      <c r="E41" s="45" t="s">
        <v>407</v>
      </c>
      <c r="F41" s="45" t="s">
        <v>411</v>
      </c>
      <c r="G41" s="45" t="s">
        <v>415</v>
      </c>
      <c r="H41" s="45" t="s">
        <v>413</v>
      </c>
      <c r="I41" s="55" t="s">
        <v>314</v>
      </c>
      <c r="V41" s="45" t="s">
        <v>407</v>
      </c>
      <c r="W41" s="45" t="s">
        <v>411</v>
      </c>
      <c r="CI41" s="47" t="s">
        <v>259</v>
      </c>
      <c r="CJ41" s="47" t="s">
        <v>259</v>
      </c>
      <c r="CK41" s="47" t="s">
        <v>37</v>
      </c>
      <c r="CL41" s="55" t="s">
        <v>314</v>
      </c>
      <c r="CM41" s="47" t="s">
        <v>39</v>
      </c>
      <c r="CN41" s="47" t="s">
        <v>37</v>
      </c>
      <c r="CO41" s="47" t="s">
        <v>37</v>
      </c>
      <c r="CP41" s="47" t="s">
        <v>39</v>
      </c>
      <c r="CQ41" s="51" t="s">
        <v>35</v>
      </c>
      <c r="CR41" s="51" t="s">
        <v>35</v>
      </c>
      <c r="CU41" s="45" t="s">
        <v>419</v>
      </c>
      <c r="CV41" s="45" t="s">
        <v>419</v>
      </c>
      <c r="CW41" s="55" t="s">
        <v>314</v>
      </c>
      <c r="CX41" s="55" t="s">
        <v>314</v>
      </c>
      <c r="CY41" s="55" t="s">
        <v>314</v>
      </c>
      <c r="DD41" s="47" t="s">
        <v>259</v>
      </c>
      <c r="DE41" s="47" t="s">
        <v>39</v>
      </c>
      <c r="DF41" s="47" t="s">
        <v>39</v>
      </c>
    </row>
    <row r="42" spans="1:168" x14ac:dyDescent="0.25">
      <c r="D42" s="45" t="s">
        <v>408</v>
      </c>
      <c r="E42" s="45" t="s">
        <v>408</v>
      </c>
      <c r="F42" s="45" t="s">
        <v>412</v>
      </c>
      <c r="H42" s="45" t="s">
        <v>414</v>
      </c>
      <c r="I42" s="45" t="s">
        <v>413</v>
      </c>
      <c r="V42" s="45" t="s">
        <v>408</v>
      </c>
      <c r="W42" s="45" t="s">
        <v>409</v>
      </c>
      <c r="CI42" s="76" t="s">
        <v>260</v>
      </c>
      <c r="CJ42" s="76" t="s">
        <v>260</v>
      </c>
      <c r="CK42" s="47" t="s">
        <v>38</v>
      </c>
      <c r="CL42" s="45" t="s">
        <v>405</v>
      </c>
      <c r="CM42" s="47" t="s">
        <v>154</v>
      </c>
      <c r="CN42" s="47" t="s">
        <v>38</v>
      </c>
      <c r="CO42" s="47" t="s">
        <v>38</v>
      </c>
      <c r="CP42" s="47" t="s">
        <v>154</v>
      </c>
      <c r="CQ42" s="51" t="s">
        <v>258</v>
      </c>
      <c r="CR42" s="51" t="s">
        <v>258</v>
      </c>
      <c r="CW42" s="45" t="s">
        <v>405</v>
      </c>
      <c r="CX42" s="45" t="s">
        <v>420</v>
      </c>
      <c r="CY42" s="47" t="s">
        <v>421</v>
      </c>
      <c r="DD42" s="76" t="s">
        <v>260</v>
      </c>
      <c r="DE42" s="47" t="s">
        <v>154</v>
      </c>
      <c r="DF42" s="47" t="s">
        <v>154</v>
      </c>
    </row>
    <row r="43" spans="1:168" x14ac:dyDescent="0.25">
      <c r="D43" s="45" t="s">
        <v>409</v>
      </c>
      <c r="E43" s="45" t="s">
        <v>409</v>
      </c>
      <c r="F43" s="45" t="s">
        <v>409</v>
      </c>
      <c r="I43" s="45" t="s">
        <v>416</v>
      </c>
      <c r="V43" s="45" t="s">
        <v>409</v>
      </c>
      <c r="CI43" s="55" t="s">
        <v>314</v>
      </c>
      <c r="CJ43" s="55" t="s">
        <v>314</v>
      </c>
      <c r="CK43" s="47" t="s">
        <v>39</v>
      </c>
      <c r="CL43" s="45" t="s">
        <v>420</v>
      </c>
      <c r="CM43" s="47" t="s">
        <v>259</v>
      </c>
      <c r="CN43" s="47" t="s">
        <v>39</v>
      </c>
      <c r="CO43" s="47" t="s">
        <v>39</v>
      </c>
      <c r="CP43" s="47" t="s">
        <v>259</v>
      </c>
      <c r="CQ43" s="51" t="s">
        <v>37</v>
      </c>
      <c r="CR43" s="51" t="s">
        <v>37</v>
      </c>
      <c r="CW43" s="45" t="s">
        <v>420</v>
      </c>
      <c r="CX43" s="45" t="s">
        <v>405</v>
      </c>
      <c r="DD43" s="55" t="s">
        <v>314</v>
      </c>
      <c r="DE43" s="47" t="s">
        <v>259</v>
      </c>
      <c r="DF43" s="47" t="s">
        <v>259</v>
      </c>
    </row>
    <row r="44" spans="1:168" x14ac:dyDescent="0.25">
      <c r="D44" s="45" t="s">
        <v>410</v>
      </c>
      <c r="E44" s="45" t="s">
        <v>410</v>
      </c>
      <c r="V44" s="45" t="s">
        <v>410</v>
      </c>
      <c r="CI44" s="45" t="s">
        <v>405</v>
      </c>
      <c r="CJ44" s="45" t="s">
        <v>405</v>
      </c>
      <c r="CK44" s="47" t="s">
        <v>154</v>
      </c>
      <c r="CM44" s="76" t="s">
        <v>260</v>
      </c>
      <c r="CN44" s="47" t="s">
        <v>154</v>
      </c>
      <c r="CO44" s="47" t="s">
        <v>154</v>
      </c>
      <c r="CP44" s="76" t="s">
        <v>260</v>
      </c>
      <c r="CQ44" s="51" t="s">
        <v>38</v>
      </c>
      <c r="CR44" s="51" t="s">
        <v>38</v>
      </c>
      <c r="DD44" s="45" t="s">
        <v>405</v>
      </c>
      <c r="DE44" s="76" t="s">
        <v>260</v>
      </c>
      <c r="DF44" s="76" t="s">
        <v>260</v>
      </c>
    </row>
    <row r="45" spans="1:168" x14ac:dyDescent="0.25">
      <c r="CI45" s="45" t="s">
        <v>419</v>
      </c>
      <c r="CJ45" s="45" t="s">
        <v>419</v>
      </c>
      <c r="CK45" s="47" t="s">
        <v>259</v>
      </c>
      <c r="CM45" s="55" t="s">
        <v>314</v>
      </c>
      <c r="CN45" s="47" t="s">
        <v>259</v>
      </c>
      <c r="CO45" s="47" t="s">
        <v>259</v>
      </c>
      <c r="CP45" s="55" t="s">
        <v>314</v>
      </c>
      <c r="CQ45" s="51" t="s">
        <v>39</v>
      </c>
      <c r="CR45" s="51" t="s">
        <v>39</v>
      </c>
      <c r="DD45" s="45" t="s">
        <v>419</v>
      </c>
      <c r="DE45" s="55" t="s">
        <v>314</v>
      </c>
      <c r="DF45" s="55" t="s">
        <v>314</v>
      </c>
    </row>
    <row r="46" spans="1:168" x14ac:dyDescent="0.25">
      <c r="CK46" s="76" t="s">
        <v>260</v>
      </c>
      <c r="CM46" s="45" t="s">
        <v>405</v>
      </c>
      <c r="CN46" s="76" t="s">
        <v>260</v>
      </c>
      <c r="CO46" s="76" t="s">
        <v>260</v>
      </c>
      <c r="CP46" s="47" t="s">
        <v>413</v>
      </c>
      <c r="CQ46" s="51" t="s">
        <v>154</v>
      </c>
      <c r="CR46" s="51" t="s">
        <v>154</v>
      </c>
      <c r="DE46" s="45" t="s">
        <v>405</v>
      </c>
      <c r="DF46" s="47" t="s">
        <v>421</v>
      </c>
    </row>
    <row r="47" spans="1:168" x14ac:dyDescent="0.25">
      <c r="CK47" s="55" t="s">
        <v>314</v>
      </c>
      <c r="CM47" s="45" t="s">
        <v>420</v>
      </c>
      <c r="CN47" s="55" t="s">
        <v>314</v>
      </c>
      <c r="CO47" s="55" t="s">
        <v>314</v>
      </c>
      <c r="CP47" s="47" t="s">
        <v>414</v>
      </c>
      <c r="CQ47" s="51" t="s">
        <v>259</v>
      </c>
      <c r="CR47" s="51" t="s">
        <v>259</v>
      </c>
      <c r="DE47" s="45" t="s">
        <v>420</v>
      </c>
    </row>
    <row r="48" spans="1:168" x14ac:dyDescent="0.25">
      <c r="CK48" s="45" t="s">
        <v>405</v>
      </c>
      <c r="CN48" s="45" t="s">
        <v>420</v>
      </c>
      <c r="CO48" s="47" t="s">
        <v>421</v>
      </c>
      <c r="CQ48" s="51" t="s">
        <v>260</v>
      </c>
      <c r="CR48" s="51" t="s">
        <v>260</v>
      </c>
    </row>
    <row r="49" spans="89:96" x14ac:dyDescent="0.25">
      <c r="CK49" s="45" t="s">
        <v>419</v>
      </c>
      <c r="CN49" s="45" t="s">
        <v>405</v>
      </c>
      <c r="CQ49" s="55" t="s">
        <v>314</v>
      </c>
      <c r="CR49" s="55" t="s">
        <v>314</v>
      </c>
    </row>
    <row r="50" spans="89:96" x14ac:dyDescent="0.25">
      <c r="CQ50" s="47" t="s">
        <v>414</v>
      </c>
      <c r="CR50" s="47" t="s">
        <v>414</v>
      </c>
    </row>
    <row r="51" spans="89:96" x14ac:dyDescent="0.25">
      <c r="CQ51" s="45" t="s">
        <v>416</v>
      </c>
      <c r="CR51" s="45" t="s">
        <v>416</v>
      </c>
    </row>
  </sheetData>
  <pageMargins left="0.7" right="0.7" top="0.75" bottom="0.75" header="0.3" footer="0.3"/>
  <pageSetup paperSize="9" orientation="portrait" horizontalDpi="300" r:id="rId1"/>
  <tableParts count="17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  <tablePart r:id="rId153"/>
    <tablePart r:id="rId154"/>
    <tablePart r:id="rId155"/>
    <tablePart r:id="rId156"/>
    <tablePart r:id="rId157"/>
    <tablePart r:id="rId158"/>
    <tablePart r:id="rId159"/>
    <tablePart r:id="rId160"/>
    <tablePart r:id="rId161"/>
    <tablePart r:id="rId162"/>
    <tablePart r:id="rId163"/>
    <tablePart r:id="rId164"/>
    <tablePart r:id="rId165"/>
    <tablePart r:id="rId166"/>
    <tablePart r:id="rId167"/>
    <tablePart r:id="rId168"/>
    <tablePart r:id="rId169"/>
    <tablePart r:id="rId170"/>
    <tablePart r:id="rId17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97DD01-C7FA-483E-A722-91E03827AC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206</vt:i4>
      </vt:variant>
    </vt:vector>
  </HeadingPairs>
  <TitlesOfParts>
    <vt:vector size="208" baseType="lpstr">
      <vt:lpstr>Controls OHD</vt:lpstr>
      <vt:lpstr>IQ2</vt:lpstr>
      <vt:lpstr>CHINA</vt:lpstr>
      <vt:lpstr>CK</vt:lpstr>
      <vt:lpstr>CK.120</vt:lpstr>
      <vt:lpstr>CK.250</vt:lpstr>
      <vt:lpstr>CK.30</vt:lpstr>
      <vt:lpstr>CK.500</vt:lpstr>
      <vt:lpstr>CK.60</vt:lpstr>
      <vt:lpstr>CKQ</vt:lpstr>
      <vt:lpstr>CKQ.1000</vt:lpstr>
      <vt:lpstr>CKQ.135</vt:lpstr>
      <vt:lpstr>CKQ.400</vt:lpstr>
      <vt:lpstr>CKQ.610</vt:lpstr>
      <vt:lpstr>CKR.120</vt:lpstr>
      <vt:lpstr>CKR.250</vt:lpstr>
      <vt:lpstr>CKR.30</vt:lpstr>
      <vt:lpstr>CKR.500</vt:lpstr>
      <vt:lpstr>CKR.60</vt:lpstr>
      <vt:lpstr>CMA</vt:lpstr>
      <vt:lpstr>CML.100</vt:lpstr>
      <vt:lpstr>CML.1500</vt:lpstr>
      <vt:lpstr>CML.250</vt:lpstr>
      <vt:lpstr>CML.3000</vt:lpstr>
      <vt:lpstr>CML.750</vt:lpstr>
      <vt:lpstr>CMQ.1000</vt:lpstr>
      <vt:lpstr>CMQ.250</vt:lpstr>
      <vt:lpstr>CMQ.500</vt:lpstr>
      <vt:lpstr>CMR.100</vt:lpstr>
      <vt:lpstr>CMR.125</vt:lpstr>
      <vt:lpstr>CMR.200</vt:lpstr>
      <vt:lpstr>CMR.250</vt:lpstr>
      <vt:lpstr>CMR.50</vt:lpstr>
      <vt:lpstr>CMR.89</vt:lpstr>
      <vt:lpstr>CVA</vt:lpstr>
      <vt:lpstr>CVL.1000</vt:lpstr>
      <vt:lpstr>CVL.1500</vt:lpstr>
      <vt:lpstr>CVL.500</vt:lpstr>
      <vt:lpstr>CVL.5000</vt:lpstr>
      <vt:lpstr>CVQ.1200</vt:lpstr>
      <vt:lpstr>CVQ.2400</vt:lpstr>
      <vt:lpstr>'Controls OHD'!EL</vt:lpstr>
      <vt:lpstr>'Controls OHD'!gb_1</vt:lpstr>
      <vt:lpstr>GERMANY</vt:lpstr>
      <vt:lpstr>'Controls OHD'!H_W</vt:lpstr>
      <vt:lpstr>INDIA</vt:lpstr>
      <vt:lpstr>IQ.10</vt:lpstr>
      <vt:lpstr>IQ.12</vt:lpstr>
      <vt:lpstr>IQ.18</vt:lpstr>
      <vt:lpstr>IQ.2</vt:lpstr>
      <vt:lpstr>IQ.20</vt:lpstr>
      <vt:lpstr>IQ.25</vt:lpstr>
      <vt:lpstr>IQ.3</vt:lpstr>
      <vt:lpstr>IQ.35</vt:lpstr>
      <vt:lpstr>IQ.40</vt:lpstr>
      <vt:lpstr>IQ.70</vt:lpstr>
      <vt:lpstr>IQ.90</vt:lpstr>
      <vt:lpstr>IQ.91</vt:lpstr>
      <vt:lpstr>IQ.95</vt:lpstr>
      <vt:lpstr>IQ_10</vt:lpstr>
      <vt:lpstr>IQ_12</vt:lpstr>
      <vt:lpstr>IQ_18</vt:lpstr>
      <vt:lpstr>IQ_19</vt:lpstr>
      <vt:lpstr>IQ_20</vt:lpstr>
      <vt:lpstr>IQ_25</vt:lpstr>
      <vt:lpstr>IQ_35</vt:lpstr>
      <vt:lpstr>IQ_40</vt:lpstr>
      <vt:lpstr>IQ_70</vt:lpstr>
      <vt:lpstr>IQ_90</vt:lpstr>
      <vt:lpstr>IQ_91</vt:lpstr>
      <vt:lpstr>IQ_95</vt:lpstr>
      <vt:lpstr>IQD.10</vt:lpstr>
      <vt:lpstr>IQD.12</vt:lpstr>
      <vt:lpstr>IQD.18</vt:lpstr>
      <vt:lpstr>IQD.20</vt:lpstr>
      <vt:lpstr>IQD.25</vt:lpstr>
      <vt:lpstr>IQD_10</vt:lpstr>
      <vt:lpstr>IQD_12</vt:lpstr>
      <vt:lpstr>IQD_18</vt:lpstr>
      <vt:lpstr>IQD_20</vt:lpstr>
      <vt:lpstr>IQD_25</vt:lpstr>
      <vt:lpstr>IQL.10</vt:lpstr>
      <vt:lpstr>IQL.12</vt:lpstr>
      <vt:lpstr>IQL.20</vt:lpstr>
      <vt:lpstr>IQL.25</vt:lpstr>
      <vt:lpstr>IQL_10</vt:lpstr>
      <vt:lpstr>IQL_12</vt:lpstr>
      <vt:lpstr>IQL_20</vt:lpstr>
      <vt:lpstr>IQM.10</vt:lpstr>
      <vt:lpstr>IQM.12</vt:lpstr>
      <vt:lpstr>IQM.20</vt:lpstr>
      <vt:lpstr>IQM.25</vt:lpstr>
      <vt:lpstr>IQM.35</vt:lpstr>
      <vt:lpstr>IQM_10</vt:lpstr>
      <vt:lpstr>IQM_12</vt:lpstr>
      <vt:lpstr>IQM_20</vt:lpstr>
      <vt:lpstr>IQM_25</vt:lpstr>
      <vt:lpstr>IQM_35</vt:lpstr>
      <vt:lpstr>IQML.10</vt:lpstr>
      <vt:lpstr>IQML.12</vt:lpstr>
      <vt:lpstr>IQML.20</vt:lpstr>
      <vt:lpstr>IQML.25</vt:lpstr>
      <vt:lpstr>IQML_10</vt:lpstr>
      <vt:lpstr>IQML_12</vt:lpstr>
      <vt:lpstr>IQML_20</vt:lpstr>
      <vt:lpstr>IQML_25</vt:lpstr>
      <vt:lpstr>IQS.12</vt:lpstr>
      <vt:lpstr>IQS.20</vt:lpstr>
      <vt:lpstr>IQS.35</vt:lpstr>
      <vt:lpstr>IQS_12</vt:lpstr>
      <vt:lpstr>IQS_20</vt:lpstr>
      <vt:lpstr>IQS_35</vt:lpstr>
      <vt:lpstr>IQT</vt:lpstr>
      <vt:lpstr>IQT.1000</vt:lpstr>
      <vt:lpstr>IQT.125</vt:lpstr>
      <vt:lpstr>IQT.2000</vt:lpstr>
      <vt:lpstr>IQT.250</vt:lpstr>
      <vt:lpstr>IQT.3</vt:lpstr>
      <vt:lpstr>IQT.500</vt:lpstr>
      <vt:lpstr>IQT_1000</vt:lpstr>
      <vt:lpstr>IQT_125</vt:lpstr>
      <vt:lpstr>IQT_2000</vt:lpstr>
      <vt:lpstr>IQT_250</vt:lpstr>
      <vt:lpstr>IQT_3000</vt:lpstr>
      <vt:lpstr>IQT_500</vt:lpstr>
      <vt:lpstr>IQTF_100</vt:lpstr>
      <vt:lpstr>IQTF_1000</vt:lpstr>
      <vt:lpstr>IQTF_125</vt:lpstr>
      <vt:lpstr>IQTF_2000</vt:lpstr>
      <vt:lpstr>IQTF_250</vt:lpstr>
      <vt:lpstr>IQTF_3000</vt:lpstr>
      <vt:lpstr>IQTF_50</vt:lpstr>
      <vt:lpstr>IQTF_500</vt:lpstr>
      <vt:lpstr>IQTM.1000</vt:lpstr>
      <vt:lpstr>IQTM.125</vt:lpstr>
      <vt:lpstr>IQTM.2000</vt:lpstr>
      <vt:lpstr>IQTM.250</vt:lpstr>
      <vt:lpstr>IQTM.500</vt:lpstr>
      <vt:lpstr>IQTM_1000</vt:lpstr>
      <vt:lpstr>IQTM_125</vt:lpstr>
      <vt:lpstr>IQTM_2000</vt:lpstr>
      <vt:lpstr>IQTM_250</vt:lpstr>
      <vt:lpstr>IQTM_3000</vt:lpstr>
      <vt:lpstr>IQTM_500</vt:lpstr>
      <vt:lpstr>K</vt:lpstr>
      <vt:lpstr>K.1000</vt:lpstr>
      <vt:lpstr>K.150</vt:lpstr>
      <vt:lpstr>K.30</vt:lpstr>
      <vt:lpstr>K.300</vt:lpstr>
      <vt:lpstr>K.500</vt:lpstr>
      <vt:lpstr>K.60</vt:lpstr>
      <vt:lpstr>K.600</vt:lpstr>
      <vt:lpstr>K.800</vt:lpstr>
      <vt:lpstr>KL.150</vt:lpstr>
      <vt:lpstr>KL.30</vt:lpstr>
      <vt:lpstr>KL.300</vt:lpstr>
      <vt:lpstr>KL.60</vt:lpstr>
      <vt:lpstr>KM.150</vt:lpstr>
      <vt:lpstr>KM.30</vt:lpstr>
      <vt:lpstr>KM.300</vt:lpstr>
      <vt:lpstr>KM.60</vt:lpstr>
      <vt:lpstr>KML.150</vt:lpstr>
      <vt:lpstr>KML.30</vt:lpstr>
      <vt:lpstr>KML.300</vt:lpstr>
      <vt:lpstr>KML.60</vt:lpstr>
      <vt:lpstr>LA</vt:lpstr>
      <vt:lpstr>LA.</vt:lpstr>
      <vt:lpstr>'Controls OHD'!m_1</vt:lpstr>
      <vt:lpstr>'Controls OHD'!m_2</vt:lpstr>
      <vt:lpstr>'Controls OHD'!m_3</vt:lpstr>
      <vt:lpstr>'Controls OHD'!m_4</vt:lpstr>
      <vt:lpstr>'Controls OHD'!m_5</vt:lpstr>
      <vt:lpstr>'Controls OHD'!m_6</vt:lpstr>
      <vt:lpstr>'Controls OHD'!m_7</vt:lpstr>
      <vt:lpstr>'Controls OHD'!m_8</vt:lpstr>
      <vt:lpstr>MCS</vt:lpstr>
      <vt:lpstr>MCS.</vt:lpstr>
      <vt:lpstr>'Controls OHD'!Mke</vt:lpstr>
      <vt:lpstr>'Controls OHD'!Mod</vt:lpstr>
      <vt:lpstr>OTHERS</vt:lpstr>
      <vt:lpstr>'Controls OHD'!P_S</vt:lpstr>
      <vt:lpstr>Q</vt:lpstr>
      <vt:lpstr>Q.100</vt:lpstr>
      <vt:lpstr>Q.300</vt:lpstr>
      <vt:lpstr>Q.450</vt:lpstr>
      <vt:lpstr>Q.650</vt:lpstr>
      <vt:lpstr>ROM</vt:lpstr>
      <vt:lpstr>ROM.1</vt:lpstr>
      <vt:lpstr>ROM.2</vt:lpstr>
      <vt:lpstr>ROM.3</vt:lpstr>
      <vt:lpstr>ROM.4</vt:lpstr>
      <vt:lpstr>ROM.5</vt:lpstr>
      <vt:lpstr>ROM.6</vt:lpstr>
      <vt:lpstr>ROM.A</vt:lpstr>
      <vt:lpstr>ROMPAK</vt:lpstr>
      <vt:lpstr>ROMPAK.1</vt:lpstr>
      <vt:lpstr>ROMPAK.2</vt:lpstr>
      <vt:lpstr>ROMPAK.3</vt:lpstr>
      <vt:lpstr>ROMPAK.4</vt:lpstr>
      <vt:lpstr>ROMPAK.5</vt:lpstr>
      <vt:lpstr>ROMPAK.6</vt:lpstr>
      <vt:lpstr>ROMPAK.A</vt:lpstr>
      <vt:lpstr>SCHISCHEK</vt:lpstr>
      <vt:lpstr>SCHISCHEK.</vt:lpstr>
      <vt:lpstr>SM</vt:lpstr>
      <vt:lpstr>SM.</vt:lpstr>
      <vt:lpstr>UK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Gopinathan, Sreenath</dc:creator>
  <cp:lastModifiedBy>Chaurasia, Ashish</cp:lastModifiedBy>
  <cp:lastPrinted>2021-12-08T13:02:14Z</cp:lastPrinted>
  <dcterms:created xsi:type="dcterms:W3CDTF">2021-08-25T08:33:18Z</dcterms:created>
  <dcterms:modified xsi:type="dcterms:W3CDTF">2023-08-12T11:17:20Z</dcterms:modified>
</cp:coreProperties>
</file>